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ucas\University\note_taking_project\results-tracker\docs\planning\"/>
    </mc:Choice>
  </mc:AlternateContent>
  <xr:revisionPtr revIDLastSave="0" documentId="13_ncr:1_{BF78D978-A03A-47B1-9D40-8B2312B7E961}" xr6:coauthVersionLast="47" xr6:coauthVersionMax="47" xr10:uidLastSave="{00000000-0000-0000-0000-000000000000}"/>
  <bookViews>
    <workbookView xWindow="-120" yWindow="-120" windowWidth="29040" windowHeight="15720" tabRatio="500" activeTab="2" xr2:uid="{00000000-000D-0000-FFFF-FFFF00000000}"/>
  </bookViews>
  <sheets>
    <sheet name="Read me" sheetId="1" r:id="rId1"/>
    <sheet name="Stage overview" sheetId="2" r:id="rId2"/>
    <sheet name="Tasks" sheetId="3" r:id="rId3"/>
    <sheet name="Test gates" sheetId="4" r:id="rId4"/>
    <sheet name="Test suites" sheetId="5" r:id="rId5"/>
  </sheets>
  <definedNames>
    <definedName name="_xlnm._FilterDatabase" localSheetId="2" hidden="1">Tasks!$A$1:$J$90</definedName>
    <definedName name="_xlnm._FilterDatabase" localSheetId="3" hidden="1">'Test gates'!$A$1:$M$86</definedName>
    <definedName name="_xlnm._FilterDatabase" localSheetId="4" hidden="1">'Test suites'!$A$1:$I$19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2" l="1"/>
  <c r="J9" i="2"/>
  <c r="I9" i="2"/>
  <c r="H9" i="2"/>
  <c r="G9" i="2"/>
  <c r="F9" i="2"/>
  <c r="J8" i="2"/>
  <c r="I8" i="2"/>
  <c r="H8" i="2"/>
  <c r="G8" i="2"/>
  <c r="F8" i="2"/>
  <c r="J7" i="2"/>
  <c r="I7" i="2"/>
  <c r="H7" i="2"/>
  <c r="G7" i="2"/>
  <c r="F7" i="2"/>
  <c r="J6" i="2"/>
  <c r="I6" i="2"/>
  <c r="H6" i="2"/>
  <c r="G6" i="2"/>
  <c r="F6" i="2"/>
  <c r="J5" i="2"/>
  <c r="I5" i="2"/>
  <c r="H5" i="2"/>
  <c r="G5" i="2"/>
  <c r="F5" i="2"/>
  <c r="J4" i="2"/>
  <c r="I4" i="2"/>
  <c r="H4" i="2"/>
  <c r="G4" i="2"/>
  <c r="F4" i="2"/>
  <c r="J3" i="2"/>
  <c r="I3" i="2"/>
  <c r="H3" i="2"/>
  <c r="G3" i="2"/>
  <c r="F3" i="2"/>
  <c r="J2" i="2"/>
  <c r="J10" i="2" s="1"/>
  <c r="I2" i="2"/>
  <c r="I10" i="2" s="1"/>
  <c r="H2" i="2"/>
  <c r="H10" i="2" s="1"/>
  <c r="G2" i="2"/>
  <c r="F2" i="2"/>
  <c r="K6" i="2" l="1"/>
  <c r="K7" i="2"/>
  <c r="G10" i="2"/>
  <c r="L7" i="2"/>
  <c r="M8" i="2" s="1"/>
  <c r="L3" i="2"/>
  <c r="M4" i="2" s="1"/>
  <c r="K4" i="2"/>
  <c r="L5" i="2"/>
  <c r="M6" i="2" s="1"/>
  <c r="K9" i="2"/>
  <c r="K2" i="2"/>
  <c r="L8" i="2"/>
  <c r="M9" i="2" s="1"/>
  <c r="L4" i="2"/>
  <c r="M5" i="2" s="1"/>
  <c r="K3" i="2"/>
  <c r="L9" i="2"/>
  <c r="K5" i="2"/>
  <c r="L6" i="2"/>
  <c r="M7" i="2" s="1"/>
  <c r="K8" i="2"/>
  <c r="L2" i="2"/>
  <c r="M3" i="2" s="1"/>
  <c r="F10" i="2"/>
  <c r="K10" i="2" l="1"/>
</calcChain>
</file>

<file path=xl/sharedStrings.xml><?xml version="1.0" encoding="utf-8"?>
<sst xmlns="http://schemas.openxmlformats.org/spreadsheetml/2006/main" count="1544" uniqueCount="885">
  <si>
    <t>Task ID</t>
  </si>
  <si>
    <t>Stage</t>
  </si>
  <si>
    <t>Step</t>
  </si>
  <si>
    <t>Task</t>
  </si>
  <si>
    <t>Definition of done</t>
  </si>
  <si>
    <t>Spec reference</t>
  </si>
  <si>
    <t>Human review</t>
  </si>
  <si>
    <t>Status</t>
  </si>
  <si>
    <t>Completed on</t>
  </si>
  <si>
    <t>Notes / PR link</t>
  </si>
  <si>
    <t>S0-T01</t>
  </si>
  <si>
    <t>Create the monorepo</t>
  </si>
  <si>
    <t>pnpm workspaces and a Cargo workspace with the layout in spec 6.2; empty packages build.</t>
  </si>
  <si>
    <t>6.2</t>
  </si>
  <si>
    <t>No</t>
  </si>
  <si>
    <t>Not started</t>
  </si>
  <si>
    <t>S0-T02</t>
  </si>
  <si>
    <t>Add agent rules and project documents</t>
  </si>
  <si>
    <t>AGENTS.md, CLAUDE.md, LICENSE (AGPL-3.0-or-later), README, CONTRIBUTING and the PR template committed from the starter kit.</t>
  </si>
  <si>
    <t>12, AGENTS.md</t>
  </si>
  <si>
    <t>Yes</t>
  </si>
  <si>
    <t>S0-T03</t>
  </si>
  <si>
    <t>Record initial ADRs</t>
  </si>
  <si>
    <t>ADR-0001 to ADR-0008 from spec 15.1 written using the ADR template.</t>
  </si>
  <si>
    <t>15.1</t>
  </si>
  <si>
    <t>S0-T04</t>
  </si>
  <si>
    <t>Configure TypeScript checks</t>
  </si>
  <si>
    <t>tsconfig with strict mode and noUncheckedIndexedAccess; ESLint with typescript-eslint; Prettier; `pnpm lint`, `pnpm typecheck` and `pnpm format:check` pass.</t>
  </si>
  <si>
    <t>12.1</t>
  </si>
  <si>
    <t>S0-T05</t>
  </si>
  <si>
    <t>Configure architecture boundaries</t>
  </si>
  <si>
    <t>dependency-cruiser rules from the starter kit enforce spec 6.3 (for example UI cannot import Tauri fs APIs; format package has no I/O).</t>
  </si>
  <si>
    <t>6.3</t>
  </si>
  <si>
    <t>S0-T06</t>
  </si>
  <si>
    <t>Configure Rust checks</t>
  </si>
  <si>
    <t>rustfmt, clippy with warnings denied, and cargo-deny with deny.toml from the starter kit.</t>
  </si>
  <si>
    <t>S0-T07</t>
  </si>
  <si>
    <t>Configure npm licence allow-list</t>
  </si>
  <si>
    <t>`pnpm licences:check` fails on any licence outside the allow-list.</t>
  </si>
  <si>
    <t>6.1</t>
  </si>
  <si>
    <t>S0-T08</t>
  </si>
  <si>
    <t>Set up test runners</t>
  </si>
  <si>
    <t>Vitest projects (unit, property, golden, fixtures) and cargo test run with an example test in each; fast-check and proptest installed.</t>
  </si>
  <si>
    <t>S0-T09</t>
  </si>
  <si>
    <t>Create CI and nightly workflows</t>
  </si>
  <si>
    <t>ci.yml runs on windows-latest and macos-latest; nightly.yml scheduled; branch protection requires CI checks.</t>
  </si>
  <si>
    <t>12.2</t>
  </si>
  <si>
    <t>S0-T10</t>
  </si>
  <si>
    <t>Install pre-commit hooks</t>
  </si>
  <si>
    <t>lefthook runs formatting, lint and typecheck on staged files.</t>
  </si>
  <si>
    <t>S0-T11</t>
  </si>
  <si>
    <t>Create fixture harness</t>
  </si>
  <si>
    <t>fixtures/projects/format-v1/ exists; a fixture test enumerates every fixture folder and fails if none are found.</t>
  </si>
  <si>
    <t>12.3</t>
  </si>
  <si>
    <t>S0-T12</t>
  </si>
  <si>
    <t>Minimal Tauri window</t>
  </si>
  <si>
    <t>Tauri app with locked-down capabilities (no fs, shell or http plugins in the webview) launches on both platforms.</t>
  </si>
  <si>
    <t>6.7</t>
  </si>
  <si>
    <t>S0-T13</t>
  </si>
  <si>
    <t>Configure CODEOWNERS for protected paths</t>
  </si>
  <si>
    <t>Changes to capabilities, migrations, nb-fs, format schemas and CI require maintainer review.</t>
  </si>
  <si>
    <t>AGENTS.md</t>
  </si>
  <si>
    <t>S1-T01</t>
  </si>
  <si>
    <t>Spike: Tiptap custom nodes with Markdown</t>
  </si>
  <si>
    <t>artefactRef and citation nodes parse from and serialise to the syntax in spec 5.6 and 5.7 using @tiptap/markdown's MarkdownManager outside the editor.</t>
  </si>
  <si>
    <t>5.6, 5.7</t>
  </si>
  <si>
    <t>S1-T02</t>
  </si>
  <si>
    <t>Spike: round-trip property harness</t>
  </si>
  <si>
    <t>fast-check arbitraries generate documents with all supported nodes, references and citations.</t>
  </si>
  <si>
    <t>S1-T03</t>
  </si>
  <si>
    <t>Spike: citeproc-js in a Web Worker</t>
  </si>
  <si>
    <t>Worker processes a context for numeric and author-date styles and returns clusters and bibliography after inserts and deletions.</t>
  </si>
  <si>
    <t>7.8</t>
  </si>
  <si>
    <t>S1-T04</t>
  </si>
  <si>
    <t>Spike: Zotero local API client in Rust</t>
  </si>
  <si>
    <t>Detects not running, disabled (403) and connected; searches items; fetches CSL-JSON; records Zotero-Server-ID when present.</t>
  </si>
  <si>
    <t>S1-T05</t>
  </si>
  <si>
    <t>Spike: previews on both platforms</t>
  </si>
  <si>
    <t>Rust thumbnail for PNG and JPEG, pdf.js first page for PDF, SVG through img, shown in the Tauri window on Windows and macOS.</t>
  </si>
  <si>
    <t>8</t>
  </si>
  <si>
    <t>S1-T06</t>
  </si>
  <si>
    <t>Spike: Typst PDF/A from JSON</t>
  </si>
  <si>
    <t>Embedded Typst renders one experiment JSON with a PDF figure to PDF/A-2b; user text passed only as data.</t>
  </si>
  <si>
    <t>7.12</t>
  </si>
  <si>
    <t>S1-T07</t>
  </si>
  <si>
    <t>Spike: TanStack table prototype</t>
  </si>
  <si>
    <t>500 generated experiments with question header rows, read-only rich summaries and virtualisation.</t>
  </si>
  <si>
    <t>7.3</t>
  </si>
  <si>
    <t>S1-T08</t>
  </si>
  <si>
    <t>Spike: YAML serialisation</t>
  </si>
  <si>
    <t>`yaml` library writes double-quoted strings in documented key order and preserves unknown keys.</t>
  </si>
  <si>
    <t>5.2</t>
  </si>
  <si>
    <t>S1-T09</t>
  </si>
  <si>
    <t>Spike: git provenance</t>
  </si>
  <si>
    <t>gix reads HEAD commit and file and tree dirty state; decide gix or git CLI.</t>
  </si>
  <si>
    <t>7.4</t>
  </si>
  <si>
    <t>S1-T10</t>
  </si>
  <si>
    <t>Define reference machine</t>
  </si>
  <si>
    <t>Hardware for performance thresholds recorded in an ADR.</t>
  </si>
  <si>
    <t>10.1</t>
  </si>
  <si>
    <t>S1-T11</t>
  </si>
  <si>
    <t>Write spike ADRs and update the specification</t>
  </si>
  <si>
    <t>One ADR per spike outcome; spec updated wherever a result differs.</t>
  </si>
  <si>
    <t>15</t>
  </si>
  <si>
    <t>S2-T01</t>
  </si>
  <si>
    <t>Write the normative format document and schemas</t>
  </si>
  <si>
    <t>docs/format/format-v1.md and Zod schemas for every file; JSON Schemas exported to docs/format/schemas.</t>
  </si>
  <si>
    <t>5</t>
  </si>
  <si>
    <t>S2-T02</t>
  </si>
  <si>
    <t>Implement format parsing and serialising</t>
  </si>
  <si>
    <t>packages/format parses and canonically serialises project.yaml, question files, experiment.md, artefacts.yaml and request.json.</t>
  </si>
  <si>
    <t>5.3-5.10</t>
  </si>
  <si>
    <t>S2-T03</t>
  </si>
  <si>
    <t>Preserve unknown content</t>
  </si>
  <si>
    <t>Unknown frontmatter keys, preamble, unknown sections and passthrough blocks survive edits.</t>
  </si>
  <si>
    <t>5.5</t>
  </si>
  <si>
    <t>S2-T04</t>
  </si>
  <si>
    <t>Implement nb-fs safe writes and path validation</t>
  </si>
  <si>
    <t>Atomic write with flush and rename, Windows retry, NFC and forward-slash normalisation, traversal rejection, writes restricted to _notebook.</t>
  </si>
  <si>
    <t>6.5, 9.3</t>
  </si>
  <si>
    <t>S2-T05</t>
  </si>
  <si>
    <t>Create, open and locate projects</t>
  </si>
  <si>
    <t>Create layout and hygiene files, open by folder, recent projects in settings, locate moved projects, external root mapping per machine.</t>
  </si>
  <si>
    <t>7.1</t>
  </si>
  <si>
    <t>S2-T06</t>
  </si>
  <si>
    <t>Implement lock and read-only modes</t>
  </si>
  <si>
    <t>Lock with heartbeat, stale takeover, banners for every read-only reason.</t>
  </si>
  <si>
    <t>5.11, 7.1</t>
  </si>
  <si>
    <t>S2-T07</t>
  </si>
  <si>
    <t>Implement the index</t>
  </si>
  <si>
    <t>nb-index in the cache directory: schema, full rebuild, incremental update keyed by file size, time and hash; FTS5 table created.</t>
  </si>
  <si>
    <t>6.6</t>
  </si>
  <si>
    <t>S2-T08</t>
  </si>
  <si>
    <t>Implement watcher and conflicts</t>
  </si>
  <si>
    <t>External changes reload; unsaved local edits plus external change keep both versions and open the conflict view.</t>
  </si>
  <si>
    <t>7.11</t>
  </si>
  <si>
    <t>S2-T09</t>
  </si>
  <si>
    <t>Implement history, trash and version-change backups</t>
  </si>
  <si>
    <t>Snapshots before overwrite with retention policy; trash for deletions; backup before first write by a new app version.</t>
  </si>
  <si>
    <t>5.11, 7.11</t>
  </si>
  <si>
    <t>S2-T10</t>
  </si>
  <si>
    <t>Implement questions and experiments</t>
  </si>
  <si>
    <t>Create, edit, move, delete to trash; ULIDs; ref allocation without reuse; duplicate ref detection.</t>
  </si>
  <si>
    <t>7.2</t>
  </si>
  <si>
    <t>S2-T11</t>
  </si>
  <si>
    <t>Build the workspace table</t>
  </si>
  <si>
    <t>Question header rows, ordering from project.yaml, sort and filter within questions, column settings persisted, virtualised rows.</t>
  </si>
  <si>
    <t>S2-T12</t>
  </si>
  <si>
    <t>Build the expanded experiment view</t>
  </si>
  <si>
    <t>Section editors (plain Markdown without references yet), side-by-side Results Notes and Interpretation, autosave with status indicator.</t>
  </si>
  <si>
    <t>7.3, 7.7</t>
  </si>
  <si>
    <t>S2-T13</t>
  </si>
  <si>
    <t>Create fixture projects</t>
  </si>
  <si>
    <t>minimal, typical, large (generated by committed script), edge-cases and malformed fixtures under format-v1.</t>
  </si>
  <si>
    <t>S3-T01</t>
  </si>
  <si>
    <t>Implement copy capture</t>
  </si>
  <si>
    <t>Hash while copying to temporary file, verify, atomic placement, Windows-safe names, collision suffixes, version naming, dedupe.</t>
  </si>
  <si>
    <t>S3-T02</t>
  </si>
  <si>
    <t>Implement link mode and relink</t>
  </si>
  <si>
    <t>Threshold and override; link records; availability checks; unavailable state; relink with ranked candidates requiring confirmation.</t>
  </si>
  <si>
    <t>S3-T03</t>
  </si>
  <si>
    <t>Implement update from source</t>
  </si>
  <si>
    <t>Detect changed source hash and offer a new version; never automatic.</t>
  </si>
  <si>
    <t>FR-EVD-06</t>
  </si>
  <si>
    <t>S3-T04</t>
  </si>
  <si>
    <t>Record git provenance on capture</t>
  </si>
  <si>
    <t>Repository path, commit, file and tree dirty flags stored with each version.</t>
  </si>
  <si>
    <t>FR-EVD-12</t>
  </si>
  <si>
    <t>S3-T05</t>
  </si>
  <si>
    <t>Implement inbox import</t>
  </si>
  <si>
    <t>Validate requests, create artefacts or versions, move payloads, remove processed requests, list invalid requests with errors.</t>
  </si>
  <si>
    <t>5.10</t>
  </si>
  <si>
    <t>S3-T06</t>
  </si>
  <si>
    <t>Build the VS Code extension</t>
  </si>
  <si>
    <t>Add file to experiment command, project discovery, experiment quick pick via packages/format, role and mode options, atomic request writing with provenance.</t>
  </si>
  <si>
    <t>7.10</t>
  </si>
  <si>
    <t>S3-T07</t>
  </si>
  <si>
    <t>Implement discovery</t>
  </si>
  <si>
    <t>Folder scan with include and exclude globs and platform clutter excludes, cancellable with progress, marks captured sources.</t>
  </si>
  <si>
    <t>FR-EVD-09</t>
  </si>
  <si>
    <t>S3-T08</t>
  </si>
  <si>
    <t>Build the groups tree</t>
  </si>
  <si>
    <t>Create, rename, nest, delete; Move to and Add to as separate actions by drag, keyboard and menu; ordering; Ungrouped area; large groups collapsed.</t>
  </si>
  <si>
    <t>7.5</t>
  </si>
  <si>
    <t>S3-T09</t>
  </si>
  <si>
    <t>Implement thumbnail cache</t>
  </si>
  <si>
    <t>Cache directory keyed by content hash and size; bounded cache size.</t>
  </si>
  <si>
    <t>FR-PRV-04</t>
  </si>
  <si>
    <t>S3-T10</t>
  </si>
  <si>
    <t>Implement previews</t>
  </si>
  <si>
    <t>Image, PDF, SVG, delimited tables including gzip, text and scripts, notebooks, HTML (external only) and fallback, all bounded.</t>
  </si>
  <si>
    <t>S3-T11</t>
  </si>
  <si>
    <t>Build the preview panel</t>
  </si>
  <si>
    <t>Metadata, versions, groups, availability, provenance and open, reveal, VS Code, copy path and open project actions.</t>
  </si>
  <si>
    <t>7.6</t>
  </si>
  <si>
    <t>S4-T01</t>
  </si>
  <si>
    <t>Wire section editors to the format package</t>
  </si>
  <si>
    <t>Methods, Results Notes and Interpretation load and save through packages/format with one live editor at a time.</t>
  </si>
  <si>
    <t>7.7</t>
  </si>
  <si>
    <t>S4-T02</t>
  </si>
  <si>
    <t>Implement @ autocomplete</t>
  </si>
  <si>
    <t>Trigger rules, search by display name and filename, icons, group path, version, keyboard navigation, Escape, ARIA combobox.</t>
  </si>
  <si>
    <t>FR-EDT-04</t>
  </si>
  <si>
    <t>S4-T03</t>
  </si>
  <si>
    <t>Implement reference chips</t>
  </si>
  <si>
    <t>Current label, filename and version on hover or focus, activation opens pinned version preview.</t>
  </si>
  <si>
    <t>FR-EDT-06</t>
  </si>
  <si>
    <t>S4-T04</t>
  </si>
  <si>
    <t>Implement newer-version updates</t>
  </si>
  <si>
    <t>Indicators, Update reference, Update all in section.</t>
  </si>
  <si>
    <t>FR-EDT-07</t>
  </si>
  <si>
    <t>S4-T05</t>
  </si>
  <si>
    <t>Handle detached references</t>
  </si>
  <si>
    <t>References to removed artefacts render detached with the last label and are preserved on save.</t>
  </si>
  <si>
    <t>FR-EDT-08</t>
  </si>
  <si>
    <t>S4-T06</t>
  </si>
  <si>
    <t>Rewrite labels and targets on save</t>
  </si>
  <si>
    <t>All references match current metadata after every write.</t>
  </si>
  <si>
    <t>FR-EDT-09</t>
  </si>
  <si>
    <t>S4-T07</t>
  </si>
  <si>
    <t>Render read-only table summaries</t>
  </si>
  <si>
    <t>Cells render Markdown summaries with chips as static elements, no editor instances.</t>
  </si>
  <si>
    <t>FR-TBL-05</t>
  </si>
  <si>
    <t>S4-T08</t>
  </si>
  <si>
    <t>Implement search</t>
  </si>
  <si>
    <t>FTS5 search across sections, titles, display names and filenames; grouped results opening at the location.</t>
  </si>
  <si>
    <t>7.9</t>
  </si>
  <si>
    <t>S4-T09</t>
  </si>
  <si>
    <t>Implement Referenced in lookup</t>
  </si>
  <si>
    <t>Artefact panel lists every reference with experiment and section.</t>
  </si>
  <si>
    <t>FR-SRC-03</t>
  </si>
  <si>
    <t>S4-T10</t>
  </si>
  <si>
    <t>Run internal alpha</t>
  </si>
  <si>
    <t>Maintainer records one real experiment end to end on a copy of a real project and files issues.</t>
  </si>
  <si>
    <t>13</t>
  </si>
  <si>
    <t>S4-T11</t>
  </si>
  <si>
    <t>Edit in the table</t>
  </si>
  <si>
    <t>Methods, Results Notes, Interpretation, title and status edit in place in the table; the edited row grows and stays rendered; one live editor across table and expanded view, saving before switching; keyboard grid navigation; section columns fill spare width.</t>
  </si>
  <si>
    <t>FR-TBL-05, FR-TBL-11, FR-TBL-12, FR-EDT-03</t>
  </si>
  <si>
    <t>ADR-0043 supersedes ADR-0005.</t>
  </si>
  <si>
    <t>S4-T12</t>
  </si>
  <si>
    <t>Wire evidence into the table</t>
  </si>
  <si>
    <t>Files are added to an experiment by picker, drag-and-drop, discovery and VS Code inbox (imported on open), copied or linked, and organised in the Results cell as folders; missing linked files can be relinked after confirmation; artefacts.yaml is loaded and written with the rest of the notebook; the preview spike is removed.</t>
  </si>
  <si>
    <t>FR-TBL-06, FR-EVD-01, FR-EVD-02, FR-EVD-05, FR-EVD-08, FR-EVD-09, FR-GRP-01 to FR-GRP-06, 5.10</t>
  </si>
  <si>
    <t>ADR-0044. Issue #50.</t>
  </si>
  <si>
    <t>S5-T01</t>
  </si>
  <si>
    <t>Integrate Zotero status and onboarding</t>
  </si>
  <si>
    <t>Status indicator and guidance for enabling the local API.</t>
  </si>
  <si>
    <t>FR-CIT-01</t>
  </si>
  <si>
    <t>S5-T02</t>
  </si>
  <si>
    <t>Build the citation picker</t>
  </si>
  <si>
    <t>Slash menu Cite item, debounced search, multi-select, locator, prefix and suffix, keyboard operable.</t>
  </si>
  <si>
    <t>FR-CIT-03</t>
  </si>
  <si>
    <t>S5-T03</t>
  </si>
  <si>
    <t>Serialise citation nodes</t>
  </si>
  <si>
    <t>Pandoc citation syntax with citekey grammar; hand-written forms preserved.</t>
  </si>
  <si>
    <t>5.7</t>
  </si>
  <si>
    <t>S5-T04</t>
  </si>
  <si>
    <t>Maintain bibliography.json</t>
  </si>
  <si>
    <t>Insert adds CSL-JSON; refresh action; ok, trashed and missing states; server ID mismatch prompt.</t>
  </si>
  <si>
    <t>5.9, FR-CIT-07</t>
  </si>
  <si>
    <t>S5-T05</t>
  </si>
  <si>
    <t>Implement citation contexts and Literature block</t>
  </si>
  <si>
    <t>Per experiment, Methods then Interpretation; one entry per source; numbering by first appearance; block regenerated and written to file with change warning.</t>
  </si>
  <si>
    <t>FR-CIT-09, FR-CIT-10</t>
  </si>
  <si>
    <t>S5-T06</t>
  </si>
  <si>
    <t>Implement style management</t>
  </si>
  <si>
    <t>Bundled in-text styles, import .csl, reject note styles, copy active style to styles/.</t>
  </si>
  <si>
    <t>FR-CIT-11</t>
  </si>
  <si>
    <t>S5-T07</t>
  </si>
  <si>
    <t>Build source details panel</t>
  </si>
  <si>
    <t>Metadata, Open in Zotero, DOI, Open PDF when available.</t>
  </si>
  <si>
    <t>FR-CIT-04</t>
  </si>
  <si>
    <t>S5-T08</t>
  </si>
  <si>
    <t>Implement source repair</t>
  </si>
  <si>
    <t>Replace a missing or trashed source with another item, updating citekeys in text.</t>
  </si>
  <si>
    <t>FR-CIT-08</t>
  </si>
  <si>
    <t>S5-T09</t>
  </si>
  <si>
    <t>Implement Cited by lookup</t>
  </si>
  <si>
    <t>List experiments citing a source.</t>
  </si>
  <si>
    <t>FR-CIT-12</t>
  </si>
  <si>
    <t>S6-T01</t>
  </si>
  <si>
    <t>Build the integrity check</t>
  </si>
  <si>
    <t>Report of missing files, unresolved references, external files and source problems, each resolvable or acknowledgeable.</t>
  </si>
  <si>
    <t>FR-ARC-01</t>
  </si>
  <si>
    <t>S6-T02</t>
  </si>
  <si>
    <t>Generate the manifest</t>
  </si>
  <si>
    <t>manifest.csv with path, size, time, SHA-256, experiments and groups.</t>
  </si>
  <si>
    <t>FR-ARC-02</t>
  </si>
  <si>
    <t>S6-T03</t>
  </si>
  <si>
    <t>Implement Verify</t>
  </si>
  <si>
    <t>Re-hash files against the manifest and report differences.</t>
  </si>
  <si>
    <t>FR-ARC-03</t>
  </si>
  <si>
    <t>S6-T04</t>
  </si>
  <si>
    <t>Implement git bundle option</t>
  </si>
  <si>
    <t>git bundle for each repository referenced by provenance.</t>
  </si>
  <si>
    <t>FR-ARC-04</t>
  </si>
  <si>
    <t>S6-T05</t>
  </si>
  <si>
    <t>Build HTML export</t>
  </si>
  <si>
    <t>Static pages per question and experiment, downscaled figures, sampled tables, relative links to originals.</t>
  </si>
  <si>
    <t>FR-ARC-05</t>
  </si>
  <si>
    <t>S6-T06</t>
  </si>
  <si>
    <t>Build PDF/A-3 export</t>
  </si>
  <si>
    <t>Typst template over notebook.json with embedded notebook.json and bibliography.json, combined project bibliography as a fresh context.</t>
  </si>
  <si>
    <t>FR-ARC-06</t>
  </si>
  <si>
    <t>S6-T07</t>
  </si>
  <si>
    <t>Build machine-readable export</t>
  </si>
  <si>
    <t>notebook.json, JSON Schemas and Markdown renderings.</t>
  </si>
  <si>
    <t>FR-ARC-07</t>
  </si>
  <si>
    <t>S6-T08</t>
  </si>
  <si>
    <t>Build bundles</t>
  </si>
  <si>
    <t>Notebook bundle and full archive as ZIP64, stored mode for compressed formats, FAT32 warning, registered extension.</t>
  </si>
  <si>
    <t>FR-ARC-08</t>
  </si>
  <si>
    <t>S6-T09</t>
  </si>
  <si>
    <t>Implement archived mode and unarchive</t>
  </si>
  <si>
    <t>Archived flag, read-only opening, unarchive with backup and migration.</t>
  </si>
  <si>
    <t>FR-ARC-09, FR-ARC-10</t>
  </si>
  <si>
    <t>S6-T10</t>
  </si>
  <si>
    <t>Generate README with recovery instructions</t>
  </si>
  <si>
    <t>_notebook/README.md explains the folder and includes the Pandoc command.</t>
  </si>
  <si>
    <t>A.3</t>
  </si>
  <si>
    <t>S7-T01</t>
  </si>
  <si>
    <t>Build the cross-OS handoff jobs</t>
  </si>
  <si>
    <t>Nightly jobs create and edit a project on Windows, verify and edit on macOS, and the reverse.</t>
  </si>
  <si>
    <t>S7-T02</t>
  </si>
  <si>
    <t>Build the end-to-end suite</t>
  </si>
  <si>
    <t>WebdriverIO with the Tauri service covering create, capture, group, reference, cite, archive on both platforms.</t>
  </si>
  <si>
    <t>S7-T03</t>
  </si>
  <si>
    <t>Separate stable and development builds</t>
  </si>
  <si>
    <t>Different application identifiers and settings; development build read-only on projects not marked as test copies.</t>
  </si>
  <si>
    <t>ADR-0008</t>
  </si>
  <si>
    <t>S7-T04</t>
  </si>
  <si>
    <t>Sign and notarise macOS builds</t>
  </si>
  <si>
    <t>Universal build signed and notarised in the release workflow.</t>
  </si>
  <si>
    <t>9.4</t>
  </si>
  <si>
    <t>S7-T05</t>
  </si>
  <si>
    <t>Sign Windows builds</t>
  </si>
  <si>
    <t>Signed installer produced in the release workflow.</t>
  </si>
  <si>
    <t>S7-T06</t>
  </si>
  <si>
    <t>Add opt-in updater</t>
  </si>
  <si>
    <t>Signature-verified updates, off by default, version-change backup on first write.</t>
  </si>
  <si>
    <t>FR-HIS-04</t>
  </si>
  <si>
    <t>S7-T07</t>
  </si>
  <si>
    <t>Accessibility pass</t>
  </si>
  <si>
    <t>Keyboard, focus, contrast and screen reader fixes; axe-core clean.</t>
  </si>
  <si>
    <t>10.2</t>
  </si>
  <si>
    <t>S7-T08</t>
  </si>
  <si>
    <t>Performance pass</t>
  </si>
  <si>
    <t>All section 10.1 thresholds met and recorded.</t>
  </si>
  <si>
    <t>S7-T09</t>
  </si>
  <si>
    <t>Register bundle file association</t>
  </si>
  <si>
    <t>Double-clicking a bundle opens the application on both platforms.</t>
  </si>
  <si>
    <t>FR-PRJ-02</t>
  </si>
  <si>
    <t>S7-T10</t>
  </si>
  <si>
    <t>Publish user and format documentation</t>
  </si>
  <si>
    <t>User guide, format-v1 documentation and recovery guide published with the release.</t>
  </si>
  <si>
    <t>5, A.3</t>
  </si>
  <si>
    <t>Computational Research Notebook: development stages and test gates</t>
  </si>
  <si>
    <t>Version</t>
  </si>
  <si>
    <t>0.1, 15 September 2026. Companion to Research_Notebook_Specification.docx and AGENTS.md.</t>
  </si>
  <si>
    <t>Purpose</t>
  </si>
  <si>
    <t>Breaks implementation into eight stages. Each stage lists the tasks to build and the gate tests that must pass before the next stage starts.</t>
  </si>
  <si>
    <t>Gate rule</t>
  </si>
  <si>
    <t>A stage is complete only when every task is Done and every gate test is Pass. Tests marked Both must pass on Windows and macOS. The Stage overview sheet calculates this automatically.</t>
  </si>
  <si>
    <t>How to use</t>
  </si>
  <si>
    <t>1. Work through Tasks for the current stage in step order.
2. Record Status, Completed on and Notes (for example the pull request link) as you go.
3. Run each gate test for the stage and record Result, Date and Evidence.
4. Check Stage overview: start the next stage only when Can start shows Yes.</t>
  </si>
  <si>
    <t>Cells you edit</t>
  </si>
  <si>
    <t>Only the columns with orange headers and pale yellow cells: Tasks (Status, Completed on, Notes) and Test gates (Result, Date, Evidence, Notes). All other columns are reference data or formulas.</t>
  </si>
  <si>
    <t>Task Status values</t>
  </si>
  <si>
    <t>Not started, In progress, Done, Blocked</t>
  </si>
  <si>
    <t>Test Result values</t>
  </si>
  <si>
    <t>Not run, Pass, Fail</t>
  </si>
  <si>
    <t>Example entry</t>
  </si>
  <si>
    <t>Task S2-T04 "Implement nb-fs safe writes and path validation": Status = Done; Completed on = 2026-11-03; Notes = PR #41, reviewed by maintainer.</t>
  </si>
  <si>
    <t>Test S2-G05 "Atomic write survives crash": Result = Pass; Date = 2026-11-04; Evidence = link to CI run; Notes = passed on windows-latest and macos-latest.</t>
  </si>
  <si>
    <t>Tasks marked Yes in Human review touch data safety, format, security or CI rules. AI may implement them, but the maintainer reviews the diff before merging.</t>
  </si>
  <si>
    <t>Commands</t>
  </si>
  <si>
    <t>Commands in Test gates refer to scripts defined in the starter kit package.json and CI workflows. They become runnable during Stage 0.</t>
  </si>
  <si>
    <t>Changing gates</t>
  </si>
  <si>
    <t>If a gate test is wrong or impossible, change it through an ADR and update this workbook in the same pull request. Do not mark a test Pass that was not run.</t>
  </si>
  <si>
    <t>Name</t>
  </si>
  <si>
    <t>Goal</t>
  </si>
  <si>
    <t>Est. weeks</t>
  </si>
  <si>
    <t>Entry requirement</t>
  </si>
  <si>
    <t>Tasks</t>
  </si>
  <si>
    <t>Tasks done</t>
  </si>
  <si>
    <t>Gate tests</t>
  </si>
  <si>
    <t>Tests passed</t>
  </si>
  <si>
    <t>Tests failed</t>
  </si>
  <si>
    <t>Progress</t>
  </si>
  <si>
    <t>Gate status</t>
  </si>
  <si>
    <t>Can start</t>
  </si>
  <si>
    <t>Repository foundation</t>
  </si>
  <si>
    <t>Set up the monorepo, agent rules, CI on Windows and macOS, and the checks that keep AI-generated code clean before any feature code exists.</t>
  </si>
  <si>
    <t>Specification v0.1 approved</t>
  </si>
  <si>
    <t>Technical spikes</t>
  </si>
  <si>
    <t>Prove the risky technologies work together before committing to them: Markdown round-trip, citations, Zotero, previews, PDF/A and the table.</t>
  </si>
  <si>
    <t>Stage 0 gate passed</t>
  </si>
  <si>
    <t>File format and index</t>
  </si>
  <si>
    <t>Build the plain-file project format, safe writing, locking, history and the disposable index, plus questions, experiments, the table and the expanded view.</t>
  </si>
  <si>
    <t>Stage 1 gate passed; spike ADRs merged</t>
  </si>
  <si>
    <t>Evidence, groups and previews</t>
  </si>
  <si>
    <t>Capture and version evidence, link large files, import from the inbox and VS Code, organise groups and preview artefacts.</t>
  </si>
  <si>
    <t>Stage 2 gate passed</t>
  </si>
  <si>
    <t>Writing and references</t>
  </si>
  <si>
    <t>Rich-text sections with version-pinned artefact references, version updates, search and reverse lookups. Ends with an internal alpha.</t>
  </si>
  <si>
    <t>Stage 3 gate passed</t>
  </si>
  <si>
    <t>Citations and Literature</t>
  </si>
  <si>
    <t>Zotero picker, bibliography cache, per-experiment citation contexts, styles and source repair.</t>
  </si>
  <si>
    <t>Stage 4 gate passed</t>
  </si>
  <si>
    <t>Archive and export</t>
  </si>
  <si>
    <t>Integrity checks, manifest and verification, HTML and PDF/A exports, bundles and archived mode.</t>
  </si>
  <si>
    <t>Stage 5 gate passed</t>
  </si>
  <si>
    <t>Cross-platform release</t>
  </si>
  <si>
    <t>Handoff and end-to-end suites on both platforms, build channels, signing, accessibility and performance sign-off.</t>
  </si>
  <si>
    <t>Stage 6 gate passed</t>
  </si>
  <si>
    <t>Total</t>
  </si>
  <si>
    <t>Test ID</t>
  </si>
  <si>
    <t>Gate test</t>
  </si>
  <si>
    <t>Type</t>
  </si>
  <si>
    <t>How to run</t>
  </si>
  <si>
    <t>Pass criterion</t>
  </si>
  <si>
    <t>Platforms</t>
  </si>
  <si>
    <t>Automated in CI</t>
  </si>
  <si>
    <t>CI trigger</t>
  </si>
  <si>
    <t>Result</t>
  </si>
  <si>
    <t>Date</t>
  </si>
  <si>
    <t>Evidence / link</t>
  </si>
  <si>
    <t>Notes</t>
  </si>
  <si>
    <t>S0-G01</t>
  </si>
  <si>
    <t>CI runs green on both platforms</t>
  </si>
  <si>
    <t>Static</t>
  </si>
  <si>
    <t>Open a PR with no changes; watch ci.yml</t>
  </si>
  <si>
    <t>All jobs succeed on windows-latest and macos-latest</t>
  </si>
  <si>
    <t>Both</t>
  </si>
  <si>
    <t>Pull request</t>
  </si>
  <si>
    <t>Not run</t>
  </si>
  <si>
    <t>S0-G02</t>
  </si>
  <si>
    <t>Lint violation fails CI</t>
  </si>
  <si>
    <t>Negative</t>
  </si>
  <si>
    <t>Temporary PR adding an unused variable and `any`</t>
  </si>
  <si>
    <t>CI fails at the lint step; PR closed afterwards</t>
  </si>
  <si>
    <t>S0-G03</t>
  </si>
  <si>
    <t>Failing test fails CI</t>
  </si>
  <si>
    <t>Temporary PR with `expect(1).toBe(2)` and a failing Rust test</t>
  </si>
  <si>
    <t>CI fails in both test steps</t>
  </si>
  <si>
    <t>S0-G04</t>
  </si>
  <si>
    <t>Disallowed licence fails CI</t>
  </si>
  <si>
    <t>Temporary PR adding a dependency with a licence outside the allow-list</t>
  </si>
  <si>
    <t>`cargo deny check` or `pnpm licences:check` fails</t>
  </si>
  <si>
    <t>S0-G05</t>
  </si>
  <si>
    <t>Boundary violation fails CI</t>
  </si>
  <si>
    <t>Temporary PR importing `@tauri-apps/plugin-fs` in apps/desktop/src</t>
  </si>
  <si>
    <t>`pnpm deps:check` fails with the named rule</t>
  </si>
  <si>
    <t>S0-G06</t>
  </si>
  <si>
    <t>Pre-commit hook blocks unformatted code</t>
  </si>
  <si>
    <t>Manual</t>
  </si>
  <si>
    <t>Commit a badly formatted file locally</t>
  </si>
  <si>
    <t>Commit rejected with a formatting message</t>
  </si>
  <si>
    <t>Local</t>
  </si>
  <si>
    <t>S0-G07</t>
  </si>
  <si>
    <t>Tauri window launches</t>
  </si>
  <si>
    <t>`pnpm --filter desktop tauri dev` on each platform</t>
  </si>
  <si>
    <t>Window opens with no console errors</t>
  </si>
  <si>
    <t>S0-G08</t>
  </si>
  <si>
    <t>Webview has no filesystem, shell or http permissions</t>
  </si>
  <si>
    <t>`pnpm test:unit -- capabilities` (test parses capability JSON)</t>
  </si>
  <si>
    <t>Test fails if any forbidden permission is present</t>
  </si>
  <si>
    <t>S0-G09</t>
  </si>
  <si>
    <t>Fixture harness detects missing fixtures</t>
  </si>
  <si>
    <t>Run `pnpm test:fixtures` with the fixture folder empty</t>
  </si>
  <si>
    <t>Harness fails with a clear message</t>
  </si>
  <si>
    <t>S1-G01</t>
  </si>
  <si>
    <t>Round-trip property: generated documents</t>
  </si>
  <si>
    <t>Property</t>
  </si>
  <si>
    <t>`pnpm test:property -- roundtrip` with FC_NUM_RUNS=10000</t>
  </si>
  <si>
    <t>parse(serialise(doc)) deep-equals doc for every case</t>
  </si>
  <si>
    <t>Pull request (1,000) and nightly</t>
  </si>
  <si>
    <t>S1-G02</t>
  </si>
  <si>
    <t>Round-trip golden: edge-case corpus</t>
  </si>
  <si>
    <t>Golden</t>
  </si>
  <si>
    <t>`pnpm test:golden -- markdown-corpus`</t>
  </si>
  <si>
    <t>Nested lists, code blocks containing @ and [@...], titled links and raw HTML byte-identical after serialise(parse())</t>
  </si>
  <si>
    <t>S1-G03</t>
  </si>
  <si>
    <t>Citation numbering property</t>
  </si>
  <si>
    <t>`pnpm test:property -- citation-context`</t>
  </si>
  <si>
    <t>After random insert, delete and move sequences, numbers follow first appearance and each source has one entry</t>
  </si>
  <si>
    <t>S1-G04</t>
  </si>
  <si>
    <t>Zotero client status handling</t>
  </si>
  <si>
    <t>Integration</t>
  </si>
  <si>
    <t>`cargo test -p nb-zotero` against the mock server; manual run against current Zotero release and beta</t>
  </si>
  <si>
    <t>Not running, 403 and connected states reported correctly; CSL-JSON parsed</t>
  </si>
  <si>
    <t>Partly</t>
  </si>
  <si>
    <t>Pull request and manual</t>
  </si>
  <si>
    <t>S1-G05</t>
  </si>
  <si>
    <t>Previews render on both platforms</t>
  </si>
  <si>
    <t>Open spike preview window with sample PNG, PDF and SVG</t>
  </si>
  <si>
    <t>All three visible and correctly scaled on Windows and macOS; screenshots attached</t>
  </si>
  <si>
    <t>S1-G06</t>
  </si>
  <si>
    <t>Typst output is valid PDF/A-2b</t>
  </si>
  <si>
    <t>Nightly veraPDF step on spike output</t>
  </si>
  <si>
    <t>veraPDF reports compliant</t>
  </si>
  <si>
    <t>Nightly</t>
  </si>
  <si>
    <t>S1-G07</t>
  </si>
  <si>
    <t>Typst treats user text as data</t>
  </si>
  <si>
    <t>Security</t>
  </si>
  <si>
    <t>`cargo test -p nb-export -- injection`</t>
  </si>
  <si>
    <t>Notes containing #, $, and Typst function calls render literally</t>
  </si>
  <si>
    <t>S1-G08</t>
  </si>
  <si>
    <t>Table prototype scroll performance</t>
  </si>
  <si>
    <t>Performance</t>
  </si>
  <si>
    <t>Profile scrolling 500 rows in the webview devtools on each platform</t>
  </si>
  <si>
    <t>No frame longer than 50 ms</t>
  </si>
  <si>
    <t>S1-G09</t>
  </si>
  <si>
    <t>Spike review</t>
  </si>
  <si>
    <t>Maintainer reviews spike ADRs</t>
  </si>
  <si>
    <t>Every spike passed or has an approved alternative ADR</t>
  </si>
  <si>
    <t>N/A</t>
  </si>
  <si>
    <t>S2-G01</t>
  </si>
  <si>
    <t>Canonical serialisation of fixtures</t>
  </si>
  <si>
    <t>`pnpm test:fixtures`</t>
  </si>
  <si>
    <t>serialise(parse(file)) is byte-identical for every file in every fixture</t>
  </si>
  <si>
    <t>S2-G02</t>
  </si>
  <si>
    <t>Model round-trip property</t>
  </si>
  <si>
    <t>`pnpm test:property -- project-model`</t>
  </si>
  <si>
    <t>Generated projects serialise and parse to deep-equal models</t>
  </si>
  <si>
    <t>Pull request and nightly</t>
  </si>
  <si>
    <t>S2-G03</t>
  </si>
  <si>
    <t>Unknown content preserved</t>
  </si>
  <si>
    <t>`pnpm test:unit -- preserve-unknown` using edge-cases fixture</t>
  </si>
  <si>
    <t>Unknown keys, preamble, unknown sections and passthrough blocks unchanged after an edit and save</t>
  </si>
  <si>
    <t>S2-G04</t>
  </si>
  <si>
    <t>Malformed files open read-only</t>
  </si>
  <si>
    <t>`pnpm test:fixtures -- malformed`</t>
  </si>
  <si>
    <t>Read-only mode reported; file hashes unchanged after opening, editing attempts and closing</t>
  </si>
  <si>
    <t>S2-G05</t>
  </si>
  <si>
    <t>Atomic write survives crash</t>
  </si>
  <si>
    <t>Fault injection</t>
  </si>
  <si>
    <t>`cargo test -p nb-fs --test atomic_write`</t>
  </si>
  <si>
    <t>Killing the writer at random points leaves the old or new complete file, never partial</t>
  </si>
  <si>
    <t>S2-G06</t>
  </si>
  <si>
    <t>Nothing outside _notebook changes</t>
  </si>
  <si>
    <t>Filesystem safety</t>
  </si>
  <si>
    <t>`pnpm test:fs-safety`</t>
  </si>
  <si>
    <t>Directory snapshot of the project root outside _notebook identical before and after the integration suite</t>
  </si>
  <si>
    <t>S2-G07</t>
  </si>
  <si>
    <t>Index rebuild equality</t>
  </si>
  <si>
    <t>`cargo test -p nb-index --test rebuild`</t>
  </si>
  <si>
    <t>Normalised dump of a rebuilt index equals the incrementally maintained index</t>
  </si>
  <si>
    <t>S2-G08</t>
  </si>
  <si>
    <t>External edit and conflict</t>
  </si>
  <si>
    <t>`pnpm test:unit -- watcher-conflict` plus manual edit in VS Code</t>
  </si>
  <si>
    <t>External edit reloads; concurrent unsaved edit produces conflict with both versions</t>
  </si>
  <si>
    <t>S2-G09</t>
  </si>
  <si>
    <t>Lock behaviour</t>
  </si>
  <si>
    <t>`cargo test -p nb-fs --test lock`</t>
  </si>
  <si>
    <t>Second instance read-only; stale lock takeover requires confirmation flag</t>
  </si>
  <si>
    <t>S2-G10</t>
  </si>
  <si>
    <t>Newer format opens read-only</t>
  </si>
  <si>
    <t>`pnpm test:fixtures -- future-format`</t>
  </si>
  <si>
    <t>Project with format_version 2 opens read-only with banner reason</t>
  </si>
  <si>
    <t>S2-G11</t>
  </si>
  <si>
    <t>Moved project resolves</t>
  </si>
  <si>
    <t>`cargo test --test move_project` copying fixture to a new temporary path</t>
  </si>
  <si>
    <t>All references and captured files resolve without repair</t>
  </si>
  <si>
    <t>S2-G12</t>
  </si>
  <si>
    <t>History retention</t>
  </si>
  <si>
    <t>Unit</t>
  </si>
  <si>
    <t>`cargo test -p nb-fs -- history_retention` with mocked clock</t>
  </si>
  <si>
    <t>Snapshot counts match policy at 1 day, 7 days, 90 days and beyond</t>
  </si>
  <si>
    <t>S2-G13</t>
  </si>
  <si>
    <t>CRLF and BOM input</t>
  </si>
  <si>
    <t>`pnpm test:unit -- encoding`</t>
  </si>
  <si>
    <t>Files with CRLF and BOM parse; written files are LF without BOM</t>
  </si>
  <si>
    <t>S2-G14</t>
  </si>
  <si>
    <t>Large project opens quickly</t>
  </si>
  <si>
    <t>`pnpm bench -- open-large`</t>
  </si>
  <si>
    <t>Table interactive in under 2 s with warm index; rebuild under 20 s</t>
  </si>
  <si>
    <t>S2-G15</t>
  </si>
  <si>
    <t>Windows-created and macOS-created fixtures</t>
  </si>
  <si>
    <t>Cross-platform</t>
  </si>
  <si>
    <t>Nightly handoff job (early version)</t>
  </si>
  <si>
    <t>Fixture created on each platform opens and saves canonically on the other</t>
  </si>
  <si>
    <t>S3-G01</t>
  </si>
  <si>
    <t>Capture dedupe and versioning</t>
  </si>
  <si>
    <t>`pnpm test:property -- capture` and `cargo test -p nb-fs -- capture`</t>
  </si>
  <si>
    <t>Same content creates no version; changed content creates v2; v1 bytes unchanged</t>
  </si>
  <si>
    <t>S3-G02</t>
  </si>
  <si>
    <t>Group operations preserve data</t>
  </si>
  <si>
    <t>`pnpm test:property -- groups`</t>
  </si>
  <si>
    <t>Random operation sequences keep every artefact ID, all file bytes and ordering; no duplicate item within a group</t>
  </si>
  <si>
    <t>S3-G03</t>
  </si>
  <si>
    <t>Nothing outside _notebook changes during capture</t>
  </si>
  <si>
    <t>Source files unchanged in bytes and modification time after capture, relink and discovery</t>
  </si>
  <si>
    <t>S3-G04</t>
  </si>
  <si>
    <t>Inbox import while app closed</t>
  </si>
  <si>
    <t>`cargo test -p nb-fs --test inbox_import` and `pnpm test:unit -- inbox-open`</t>
  </si>
  <si>
    <t>Requests written with no app running import on next open; invalid requests stay with error</t>
  </si>
  <si>
    <t>S3-G05</t>
  </si>
  <si>
    <t>VS Code extension writes valid requests</t>
  </si>
  <si>
    <t>`pnpm test:vscode`</t>
  </si>
  <si>
    <t>Request validates against schema; payload hash matches; provenance commit and dirty flags correct in a test repository</t>
  </si>
  <si>
    <t>S3-G06</t>
  </si>
  <si>
    <t>Relink never auto-applies</t>
  </si>
  <si>
    <t>`cargo test -p nb-fs -- relink` and `pnpm test:unit -- relink`</t>
  </si>
  <si>
    <t>Candidates returned ranked; artefact unchanged until the person confirms a candidate (the UI calling `applyRelink`, ADR-0044)</t>
  </si>
  <si>
    <t>S3-G07</t>
  </si>
  <si>
    <t>Discovery on 50,000 files</t>
  </si>
  <si>
    <t>`cargo test -p nb-fs --test discovery_perf` (ADR-0035 §10)</t>
  </si>
  <si>
    <t>Progress within 500 ms; cancel within 1 s; excluded folders not traversed</t>
  </si>
  <si>
    <t>S3-G08</t>
  </si>
  <si>
    <t>Bounded table preview</t>
  </si>
  <si>
    <t>`cargo test -p nb-preview -- bounds`</t>
  </si>
  <si>
    <t>2 GB CSV: read limits respected, memory increase under 50 MB; gzip works</t>
  </si>
  <si>
    <t>S3-G09</t>
  </si>
  <si>
    <t>SVG scripts do not execute; HTML not rendered</t>
  </si>
  <si>
    <t>`pnpm test:e2e -- preview-security`</t>
  </si>
  <si>
    <t>Script-bearing SVG triggers no script; HTML artefact offers only external open</t>
  </si>
  <si>
    <t>S3-G10</t>
  </si>
  <si>
    <t>Windows-safe filenames</t>
  </si>
  <si>
    <t>`cargo test -p nb-fs -- filename_sanitise` (proptest)</t>
  </si>
  <si>
    <t>Generated names are valid on Windows, NFC, at most 64 characters, and unique after case folding</t>
  </si>
  <si>
    <t>S3-G11</t>
  </si>
  <si>
    <t>Large Results tree performance</t>
  </si>
  <si>
    <t>`pnpm bench -- results-tree`</t>
  </si>
  <si>
    <t>2,000 artefacts render collapsed in under 200 ms</t>
  </si>
  <si>
    <t>S3-G12</t>
  </si>
  <si>
    <t>Keyboard-only group operations</t>
  </si>
  <si>
    <t>Accessibility</t>
  </si>
  <si>
    <t>Manual test and `pnpm test:a11y`</t>
  </si>
  <si>
    <t>Create, move and add memberships without a mouse; no serious axe violations</t>
  </si>
  <si>
    <t>S3-G13</t>
  </si>
  <si>
    <t>Previews on both platforms</t>
  </si>
  <si>
    <t>Open typical fixture previews on Windows and macOS</t>
  </si>
  <si>
    <t>All preview types render or show fallback states; screenshots attached</t>
  </si>
  <si>
    <t>S4-G01</t>
  </si>
  <si>
    <t>Reference syntax written correctly</t>
  </si>
  <si>
    <t>`pnpm test:golden -- references`</t>
  </si>
  <si>
    <t>Inserted references match spec 5.6 exactly</t>
  </si>
  <si>
    <t>S4-G02</t>
  </si>
  <si>
    <t>Files readable in other tools</t>
  </si>
  <si>
    <t>Open typical fixture in VS Code preview and as an Obsidian vault</t>
  </si>
  <si>
    <t>Links open the correct files; text readable</t>
  </si>
  <si>
    <t>S4-G03</t>
  </si>
  <si>
    <t>Rename updates references</t>
  </si>
  <si>
    <t>`pnpm test:unit -- rename-artefact`</t>
  </si>
  <si>
    <t>All labels updated in files; IDs and versions unchanged</t>
  </si>
  <si>
    <t>S4-G04</t>
  </si>
  <si>
    <t>Round-trip with references</t>
  </si>
  <si>
    <t>`pnpm test:property -- roundtrip`</t>
  </si>
  <si>
    <t>Extended arbitraries including references in all sections pass</t>
  </si>
  <si>
    <t>S4-G05</t>
  </si>
  <si>
    <t>Autosave crash window</t>
  </si>
  <si>
    <t>`pnpm test:e2e -- autosave-crash`</t>
  </si>
  <si>
    <t>Killing the app 2 s after typing loses at most 1.5 s of input; file never partial</t>
  </si>
  <si>
    <t>S4-G06</t>
  </si>
  <si>
    <t>Search speed and coverage</t>
  </si>
  <si>
    <t>`pnpm bench -- search`</t>
  </si>
  <si>
    <t>Results under 200 ms on large fixture; matches in every section type</t>
  </si>
  <si>
    <t>S4-G07</t>
  </si>
  <si>
    <t>Referenced in is complete</t>
  </si>
  <si>
    <t>`pnpm test:property -- reverse-refs`</t>
  </si>
  <si>
    <t>Lookup equals brute-force scan of all files</t>
  </si>
  <si>
    <t>S4-G08</t>
  </si>
  <si>
    <t>Single live editor</t>
  </si>
  <si>
    <t>`pnpm test:unit -- editor-instances`</t>
  </si>
  <si>
    <t>At most one editor instance mounted at any time across the table and the expanded view</t>
  </si>
  <si>
    <t>S4-G09</t>
  </si>
  <si>
    <t>Autocomplete accessibility</t>
  </si>
  <si>
    <t>`pnpm test:a11y` plus NVDA on Windows and VoiceOver on macOS</t>
  </si>
  <si>
    <t>Combobox announced and operable by keyboard</t>
  </si>
  <si>
    <t>S4-G10</t>
  </si>
  <si>
    <t>Internal alpha complete</t>
  </si>
  <si>
    <t>Maintainer dogfood on a copy of a real project</t>
  </si>
  <si>
    <t>One real experiment recorded end to end; blocking issues fixed</t>
  </si>
  <si>
    <t>S4-G11</t>
  </si>
  <si>
    <t>Inline edit saves</t>
  </si>
  <si>
    <t>`pnpm test:unit -- inline-edit`</t>
  </si>
  <si>
    <t>A section edited in a table cell writes the same file bytes as the same edit in the expanded view; switching cells saves pending text first</t>
  </si>
  <si>
    <t>Added by ADR-0043.</t>
  </si>
  <si>
    <t>S4-G12</t>
  </si>
  <si>
    <t>Scroll with an active editor</t>
  </si>
  <si>
    <t>Profile scrolling the 500-experiment table in the webview devtools with one cell being edited, on each platform</t>
  </si>
  <si>
    <t>No frame longer than 50 ms; the edited row stays rendered and keeps its text</t>
  </si>
  <si>
    <t>S4-G13</t>
  </si>
  <si>
    <t>Evidence added in the table</t>
  </si>
  <si>
    <t>`pnpm test:unit -- evidence-capture` and `pnpm test:fs-safety`</t>
  </si>
  <si>
    <t>A picked or dropped file becomes a new artefact or version in artefacts.yaml; a duplicate makes no version; a file outside the project and external roots is refused; source files are unchanged</t>
  </si>
  <si>
    <t>Added by ADR-0044.</t>
  </si>
  <si>
    <t>S5-G01</t>
  </si>
  <si>
    <t>Literature consistency property</t>
  </si>
  <si>
    <t>`pnpm test:property -- literature`</t>
  </si>
  <si>
    <t>Random citation edits keep Literature equal to cited sources, numbered by first appearance, one entry per source</t>
  </si>
  <si>
    <t>S5-G02</t>
  </si>
  <si>
    <t>Style change does not alter text</t>
  </si>
  <si>
    <t>`pnpm test:unit -- style-switch`</t>
  </si>
  <si>
    <t>Section text hashes unchanged apart from the literature block</t>
  </si>
  <si>
    <t>S5-G03</t>
  </si>
  <si>
    <t>Pandoc agrees with the app</t>
  </si>
  <si>
    <t>`pnpm test:golden -- pandoc-citeproc` (CI installs Pandoc)</t>
  </si>
  <si>
    <t>Normalised Pandoc bibliography text equals app Literature for fixtures</t>
  </si>
  <si>
    <t>S5-G04</t>
  </si>
  <si>
    <t>Rendering with Zotero closed</t>
  </si>
  <si>
    <t>`pnpm test:unit -- offline-citations`</t>
  </si>
  <si>
    <t>Existing citations render from bibliography.json; picker shows offline state</t>
  </si>
  <si>
    <t>S5-G05</t>
  </si>
  <si>
    <t>Server ID mismatch</t>
  </si>
  <si>
    <t>`cargo test -p nb-zotero -- server_id` with mock</t>
  </si>
  <si>
    <t>412 and mismatched IDs prompt before overwrite; no data lost</t>
  </si>
  <si>
    <t>S5-G06</t>
  </si>
  <si>
    <t>Trashed and missing sources</t>
  </si>
  <si>
    <t>`pnpm test:unit -- source-repair`</t>
  </si>
  <si>
    <t>States shown; replacement updates citekeys; citation text otherwise unchanged</t>
  </si>
  <si>
    <t>S5-G07</t>
  </si>
  <si>
    <t>Zotero contract</t>
  </si>
  <si>
    <t>Contract</t>
  </si>
  <si>
    <t>`cargo test -p nb-zotero --test contract` on recorded responses; manual run against current Zotero release and beta</t>
  </si>
  <si>
    <t>All contract cases pass</t>
  </si>
  <si>
    <t>Pull request and before release</t>
  </si>
  <si>
    <t>S5-G08</t>
  </si>
  <si>
    <t>Note styles rejected</t>
  </si>
  <si>
    <t>`pnpm test:unit -- style-validation`</t>
  </si>
  <si>
    <t>Note-class CSL styles rejected with message</t>
  </si>
  <si>
    <t>S6-G01</t>
  </si>
  <si>
    <t>PDF/A-3b validity</t>
  </si>
  <si>
    <t>Nightly veraPDF step on typical fixture export</t>
  </si>
  <si>
    <t>Compliant; embedded notebook.json and bibliography.json present</t>
  </si>
  <si>
    <t>S6-G02</t>
  </si>
  <si>
    <t>Export golden files</t>
  </si>
  <si>
    <t>`pnpm test:golden -- export`</t>
  </si>
  <si>
    <t>notebook.json and HTML structure match golden files</t>
  </si>
  <si>
    <t>S6-G03</t>
  </si>
  <si>
    <t>Verify detects corruption</t>
  </si>
  <si>
    <t>`cargo test -p nb-archive -- verify`</t>
  </si>
  <si>
    <t>A single flipped byte in any file is reported</t>
  </si>
  <si>
    <t>S6-G04</t>
  </si>
  <si>
    <t>ZIP64 full archive round-trip</t>
  </si>
  <si>
    <t>`cargo test -p nb-archive --test zip64 -- --ignored` (nightly only)</t>
  </si>
  <si>
    <t>Archive over 4 GB extracts byte-identical</t>
  </si>
  <si>
    <t>S6-G05</t>
  </si>
  <si>
    <t>Notebook bundle without data</t>
  </si>
  <si>
    <t>`cargo test -p nb-archive -- notebook_bundle`</t>
  </si>
  <si>
    <t>Opens with files unavailable; pointing to data folder matches by checksum</t>
  </si>
  <si>
    <t>S6-G06</t>
  </si>
  <si>
    <t>Archived projects are not written</t>
  </si>
  <si>
    <t>`pnpm test:fs-safety -- archived`</t>
  </si>
  <si>
    <t>No file under the project changes while archived project is open and used</t>
  </si>
  <si>
    <t>S6-G07</t>
  </si>
  <si>
    <t>Pandoc recovery command works</t>
  </si>
  <si>
    <t>CI runs the README command on the typical fixture</t>
  </si>
  <si>
    <t>Pandoc exits 0 and output contains the bibliography</t>
  </si>
  <si>
    <t>S6-G08</t>
  </si>
  <si>
    <t>Archive crosses platforms</t>
  </si>
  <si>
    <t>Nightly handoff job with archive step</t>
  </si>
  <si>
    <t>Archive made on each platform verifies and opens read-only on the other</t>
  </si>
  <si>
    <t>S7-G01</t>
  </si>
  <si>
    <t>Handoff both directions</t>
  </si>
  <si>
    <t>`nightly.yml` handoff jobs</t>
  </si>
  <si>
    <t>Windows to macOS and macOS to Windows jobs green on three consecutive nights</t>
  </si>
  <si>
    <t>S7-G02</t>
  </si>
  <si>
    <t>End-to-end core workflow</t>
  </si>
  <si>
    <t>E2E</t>
  </si>
  <si>
    <t>`pnpm test:e2e`</t>
  </si>
  <si>
    <t>Create, capture, group, reference, cite, archive pass on both platforms</t>
  </si>
  <si>
    <t>Nightly and release</t>
  </si>
  <si>
    <t>S7-G03</t>
  </si>
  <si>
    <t>Development build protection</t>
  </si>
  <si>
    <t>`pnpm test:e2e -- dev-build-readonly`</t>
  </si>
  <si>
    <t>Development build opens non-test project read-only</t>
  </si>
  <si>
    <t>Release</t>
  </si>
  <si>
    <t>S7-G04</t>
  </si>
  <si>
    <t>Clean machine installers</t>
  </si>
  <si>
    <t>Install on clean Windows 11 and macOS virtual machines</t>
  </si>
  <si>
    <t>Launch without security overrides; uninstall leaves project files untouched</t>
  </si>
  <si>
    <t>S7-G05</t>
  </si>
  <si>
    <t>Update creates backup</t>
  </si>
  <si>
    <t>`pnpm test:e2e -- version-change-backup`</t>
  </si>
  <si>
    <t>Backup exists before first write by new version</t>
  </si>
  <si>
    <t>S7-G06</t>
  </si>
  <si>
    <t>Recovery without the application</t>
  </si>
  <si>
    <t>Uninstall app; open project in text editor; run Pandoc command</t>
  </si>
  <si>
    <t>All notes readable; experiment renders with citations</t>
  </si>
  <si>
    <t>S7-G07</t>
  </si>
  <si>
    <t>Accessibility sign-off</t>
  </si>
  <si>
    <t>`pnpm test:a11y`; keyboard-only and screen reader walkthrough</t>
  </si>
  <si>
    <t>No serious or critical axe violations; walkthrough completed on both platforms</t>
  </si>
  <si>
    <t>S7-G08</t>
  </si>
  <si>
    <t>Performance sign-off</t>
  </si>
  <si>
    <t>`pnpm bench`</t>
  </si>
  <si>
    <t>Every threshold in spec 10.1 met on reference machine</t>
  </si>
  <si>
    <t>S7-G09</t>
  </si>
  <si>
    <t>Mutation score on critical modules</t>
  </si>
  <si>
    <t>Mutation</t>
  </si>
  <si>
    <t>`pnpm test:mutation` and `cargo mutants -p nb-fs`</t>
  </si>
  <si>
    <t>Mutation score at least 80% for packages/format, packages/citations and nb-fs</t>
  </si>
  <si>
    <t>Weekly</t>
  </si>
  <si>
    <t>S7-G10</t>
  </si>
  <si>
    <t>Acceptance criteria sign-off</t>
  </si>
  <si>
    <t>Walk through spec section 13</t>
  </si>
  <si>
    <t>AC-01 to AC-20 all confirmed with evidence links</t>
  </si>
  <si>
    <t>Suite</t>
  </si>
  <si>
    <t>Layer</t>
  </si>
  <si>
    <t>Tools</t>
  </si>
  <si>
    <t>Location</t>
  </si>
  <si>
    <t>Command</t>
  </si>
  <si>
    <t>Trigger</t>
  </si>
  <si>
    <t>Required to merge</t>
  </si>
  <si>
    <t>Introduced in stage</t>
  </si>
  <si>
    <t>Formatting, linting and types</t>
  </si>
  <si>
    <t>Prettier, ESLint, tsc, rustfmt, clippy</t>
  </si>
  <si>
    <t>Whole repository</t>
  </si>
  <si>
    <t>pnpm check:static</t>
  </si>
  <si>
    <t>Pre-commit and pull request</t>
  </si>
  <si>
    <t>Architecture boundaries</t>
  </si>
  <si>
    <t>dependency-cruiser</t>
  </si>
  <si>
    <t>apps, packages, extensions</t>
  </si>
  <si>
    <t>pnpm deps:check</t>
  </si>
  <si>
    <t>Licences and advisories</t>
  </si>
  <si>
    <t>cargo-deny, npm licence checker, pnpm audit</t>
  </si>
  <si>
    <t>Dependencies</t>
  </si>
  <si>
    <t>cargo deny check &amp;&amp; pnpm licences:check</t>
  </si>
  <si>
    <t>Pull request and weekly</t>
  </si>
  <si>
    <t>TypeScript unit and component</t>
  </si>
  <si>
    <t>Vitest, Testing Library</t>
  </si>
  <si>
    <t>packages/*, apps/desktop/src, extensions/vscode</t>
  </si>
  <si>
    <t>pnpm test:unit</t>
  </si>
  <si>
    <t>Rust unit and integration</t>
  </si>
  <si>
    <t>Unit / integration</t>
  </si>
  <si>
    <t>cargo test</t>
  </si>
  <si>
    <t>apps/desktop/src-tauri</t>
  </si>
  <si>
    <t>pnpm test:rust</t>
  </si>
  <si>
    <t>Property tests (short)</t>
  </si>
  <si>
    <t>fast-check, proptest</t>
  </si>
  <si>
    <t>packages/format, packages/citations, nb-fs</t>
  </si>
  <si>
    <t>pnpm test:property</t>
  </si>
  <si>
    <t>Pull request (1,000 cases)</t>
  </si>
  <si>
    <t>Property tests (long)</t>
  </si>
  <si>
    <t>Same as above</t>
  </si>
  <si>
    <t>FC_NUM_RUNS=100000 PROPTEST_CASES=100000 pnpm test:property</t>
  </si>
  <si>
    <t>No (nightly alert)</t>
  </si>
  <si>
    <t>Golden files</t>
  </si>
  <si>
    <t>Vitest snapshot files</t>
  </si>
  <si>
    <t>packages/format, nb-export</t>
  </si>
  <si>
    <t>pnpm test:golden</t>
  </si>
  <si>
    <t>Fixture compatibility</t>
  </si>
  <si>
    <t>Vitest</t>
  </si>
  <si>
    <t>fixtures/projects</t>
  </si>
  <si>
    <t>pnpm test:fixtures</t>
  </si>
  <si>
    <t>cargo test with directory snapshots</t>
  </si>
  <si>
    <t>nb-fs and command integration tests</t>
  </si>
  <si>
    <t>pnpm test:fs-safety</t>
  </si>
  <si>
    <t>cargo test with recorded responses</t>
  </si>
  <si>
    <t>nb-zotero</t>
  </si>
  <si>
    <t>cargo test -p nb-zotero --test contract</t>
  </si>
  <si>
    <t>VS Code extension</t>
  </si>
  <si>
    <t>@vscode/test-electron</t>
  </si>
  <si>
    <t>extensions/vscode</t>
  </si>
  <si>
    <t>pnpm test:vscode</t>
  </si>
  <si>
    <t>axe-core</t>
  </si>
  <si>
    <t>apps/desktop</t>
  </si>
  <si>
    <t>pnpm test:a11y</t>
  </si>
  <si>
    <t>Pull request touching UI</t>
  </si>
  <si>
    <t>End-to-end</t>
  </si>
  <si>
    <t>WebdriverIO with Tauri service</t>
  </si>
  <si>
    <t>apps/desktop/e2e</t>
  </si>
  <si>
    <t>pnpm test:e2e</t>
  </si>
  <si>
    <t>Release only</t>
  </si>
  <si>
    <t>Cross-OS handoff</t>
  </si>
  <si>
    <t>GitHub Actions artefacts</t>
  </si>
  <si>
    <t>scripts/handoff</t>
  </si>
  <si>
    <t>pnpm handoff:create / pnpm handoff:verify</t>
  </si>
  <si>
    <t>Windows and macOS jobs</t>
  </si>
  <si>
    <t>PDF/A validation</t>
  </si>
  <si>
    <t>veraPDF</t>
  </si>
  <si>
    <t>nb-export output</t>
  </si>
  <si>
    <t>verapdf --flavour 3b exports/*.pdf</t>
  </si>
  <si>
    <t>Performance benchmarks</t>
  </si>
  <si>
    <t>Vitest bench, criterion</t>
  </si>
  <si>
    <t>packages, apps/desktop</t>
  </si>
  <si>
    <t>pnpm bench</t>
  </si>
  <si>
    <t>Mutation testing</t>
  </si>
  <si>
    <t>StrykerJS, cargo-mutants</t>
  </si>
  <si>
    <t>pnpm test:mutation &amp;&amp; cargo mutants -p nb-fs</t>
  </si>
  <si>
    <t>One platform</t>
  </si>
  <si>
    <t>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</si>
</sst>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charset val="1"/>
    </font>
    <font>
      <b/>
      <sz val="14"/>
      <color rgb="FF1F3A5F"/>
      <name val="Arial"/>
      <charset val="1"/>
    </font>
    <font>
      <sz val="10"/>
      <name val="Arial"/>
      <charset val="1"/>
    </font>
    <font>
      <b/>
      <sz val="10"/>
      <name val="Arial"/>
      <charset val="1"/>
    </font>
    <font>
      <b/>
      <sz val="10"/>
      <color rgb="FFFFFFFF"/>
      <name val="Arial"/>
      <charset val="1"/>
    </font>
    <font>
      <sz val="11"/>
      <color rgb="FF006100"/>
      <name val="Calibri"/>
      <family val="2"/>
      <scheme val="minor"/>
    </font>
  </fonts>
  <fills count="6">
    <fill>
      <patternFill patternType="none"/>
    </fill>
    <fill>
      <patternFill patternType="gray125"/>
    </fill>
    <fill>
      <patternFill patternType="solid">
        <fgColor rgb="FF1F3A5F"/>
        <bgColor rgb="FF333333"/>
      </patternFill>
    </fill>
    <fill>
      <patternFill patternType="solid">
        <fgColor rgb="FFB7791F"/>
        <bgColor rgb="FFFF6600"/>
      </patternFill>
    </fill>
    <fill>
      <patternFill patternType="solid">
        <fgColor rgb="FFFFF8E1"/>
        <bgColor rgb="FFFFFFFF"/>
      </patternFill>
    </fill>
    <fill>
      <patternFill patternType="solid">
        <fgColor rgb="FFC6EFCE"/>
      </patternFill>
    </fill>
  </fills>
  <borders count="2">
    <border>
      <left/>
      <right/>
      <top/>
      <bottom/>
      <diagonal/>
    </border>
    <border>
      <left style="thin">
        <color rgb="FFC9CED6"/>
      </left>
      <right style="thin">
        <color rgb="FFC9CED6"/>
      </right>
      <top style="thin">
        <color rgb="FFC9CED6"/>
      </top>
      <bottom style="thin">
        <color rgb="FFC9CED6"/>
      </bottom>
      <diagonal/>
    </border>
  </borders>
  <cellStyleXfs count="2">
    <xf numFmtId="0" fontId="0" fillId="0" borderId="0"/>
    <xf numFmtId="0" fontId="5" fillId="5" borderId="0" applyNumberFormat="0" applyBorder="0" applyAlignment="0" applyProtection="0"/>
  </cellStyleXfs>
  <cellXfs count="1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vertical="center"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9" fontId="2" fillId="0" borderId="1" xfId="0" applyNumberFormat="1" applyFont="1" applyBorder="1" applyAlignment="1">
      <alignment horizontal="center" vertical="top" wrapText="1"/>
    </xf>
    <xf numFmtId="9" fontId="3" fillId="0" borderId="1" xfId="0" applyNumberFormat="1" applyFont="1" applyBorder="1" applyAlignment="1">
      <alignment horizontal="center" vertical="top" wrapText="1"/>
    </xf>
    <xf numFmtId="0" fontId="4" fillId="3" borderId="1" xfId="0" applyFont="1" applyFill="1" applyBorder="1" applyAlignment="1">
      <alignment vertical="center" wrapText="1"/>
    </xf>
    <xf numFmtId="0" fontId="2" fillId="4" borderId="1" xfId="0" applyFont="1" applyFill="1" applyBorder="1" applyAlignment="1">
      <alignment horizontal="center" vertical="top" wrapText="1"/>
    </xf>
    <xf numFmtId="164" fontId="2" fillId="4" borderId="1" xfId="0" applyNumberFormat="1" applyFont="1" applyFill="1" applyBorder="1" applyAlignment="1">
      <alignment horizontal="center" vertical="top" wrapText="1"/>
    </xf>
    <xf numFmtId="0" fontId="2" fillId="4" borderId="1" xfId="0" applyFont="1" applyFill="1" applyBorder="1" applyAlignment="1">
      <alignment vertical="top" wrapText="1"/>
    </xf>
    <xf numFmtId="0" fontId="5" fillId="5" borderId="1" xfId="1" applyBorder="1" applyAlignment="1">
      <alignment horizontal="center" vertical="top" wrapText="1"/>
    </xf>
  </cellXfs>
  <cellStyles count="2">
    <cellStyle name="Good" xfId="1" builtinId="26"/>
    <cellStyle name="Normal" xfId="0" builtinId="0"/>
  </cellStyles>
  <dxfs count="11">
    <dxf>
      <fill>
        <patternFill>
          <bgColor rgb="FFF8D0CC"/>
        </patternFill>
      </fill>
    </dxf>
    <dxf>
      <fill>
        <patternFill>
          <bgColor rgb="FFD7F0DD"/>
        </patternFill>
      </fill>
    </dxf>
    <dxf>
      <fill>
        <patternFill>
          <bgColor rgb="FFF8D0CC"/>
        </patternFill>
      </fill>
    </dxf>
    <dxf>
      <fill>
        <patternFill>
          <bgColor rgb="FFFFE8B3"/>
        </patternFill>
      </fill>
    </dxf>
    <dxf>
      <fill>
        <patternFill>
          <bgColor rgb="FFD7F0DD"/>
        </patternFill>
      </fill>
    </dxf>
    <dxf>
      <fill>
        <patternFill>
          <bgColor rgb="FFFFE8B3"/>
        </patternFill>
      </fill>
    </dxf>
    <dxf>
      <fill>
        <patternFill>
          <bgColor rgb="FFECEFF3"/>
        </patternFill>
      </fill>
    </dxf>
    <dxf>
      <fill>
        <patternFill>
          <bgColor rgb="FFD7F0DD"/>
        </patternFill>
      </fill>
    </dxf>
    <dxf>
      <fill>
        <patternFill>
          <bgColor rgb="FFF8D0CC"/>
        </patternFill>
      </fill>
    </dxf>
    <dxf>
      <fill>
        <patternFill>
          <bgColor rgb="FFFFE8B3"/>
        </patternFill>
      </fill>
    </dxf>
    <dxf>
      <fill>
        <patternFill>
          <bgColor rgb="FFD7F0D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7791F"/>
      <rgbColor rgb="FF800080"/>
      <rgbColor rgb="FF008080"/>
      <rgbColor rgb="FFC0C0C0"/>
      <rgbColor rgb="FF808080"/>
      <rgbColor rgb="FF9999FF"/>
      <rgbColor rgb="FF993366"/>
      <rgbColor rgb="FFFFF8E1"/>
      <rgbColor rgb="FFECEFF3"/>
      <rgbColor rgb="FF660066"/>
      <rgbColor rgb="FFFF8080"/>
      <rgbColor rgb="FF0066CC"/>
      <rgbColor rgb="FFC9CED6"/>
      <rgbColor rgb="FF000080"/>
      <rgbColor rgb="FFFF00FF"/>
      <rgbColor rgb="FFFFFF00"/>
      <rgbColor rgb="FF00FFFF"/>
      <rgbColor rgb="FF800080"/>
      <rgbColor rgb="FF800000"/>
      <rgbColor rgb="FF008080"/>
      <rgbColor rgb="FF0000FF"/>
      <rgbColor rgb="FF00CCFF"/>
      <rgbColor rgb="FFCCFFFF"/>
      <rgbColor rgb="FFD7F0DD"/>
      <rgbColor rgb="FFFFE8B3"/>
      <rgbColor rgb="FF99CCFF"/>
      <rgbColor rgb="FFFF99CC"/>
      <rgbColor rgb="FFCC99FF"/>
      <rgbColor rgb="FFF8D0CC"/>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4"/>
  <sheetViews>
    <sheetView zoomScaleNormal="100" workbookViewId="0"/>
  </sheetViews>
  <sheetFormatPr defaultColWidth="8.7109375" defaultRowHeight="15" x14ac:dyDescent="0.25"/>
  <cols>
    <col min="1" max="1" width="26" customWidth="1"/>
    <col min="2" max="2" width="100" customWidth="1"/>
  </cols>
  <sheetData>
    <row r="1" spans="1:2" ht="79.900000000000006" customHeight="1" x14ac:dyDescent="0.25">
      <c r="A1" s="1" t="s">
        <v>357</v>
      </c>
      <c r="B1" s="2"/>
    </row>
    <row r="2" spans="1:2" ht="15" customHeight="1" x14ac:dyDescent="0.25">
      <c r="A2" s="3" t="s">
        <v>358</v>
      </c>
      <c r="B2" s="2" t="s">
        <v>359</v>
      </c>
    </row>
    <row r="3" spans="1:2" ht="15" customHeight="1" x14ac:dyDescent="0.25">
      <c r="A3" s="3"/>
      <c r="B3" s="2"/>
    </row>
    <row r="4" spans="1:2" ht="30" customHeight="1" x14ac:dyDescent="0.25">
      <c r="A4" s="3" t="s">
        <v>360</v>
      </c>
      <c r="B4" s="2" t="s">
        <v>361</v>
      </c>
    </row>
    <row r="5" spans="1:2" ht="30" customHeight="1" x14ac:dyDescent="0.25">
      <c r="A5" s="3" t="s">
        <v>362</v>
      </c>
      <c r="B5" s="2" t="s">
        <v>363</v>
      </c>
    </row>
    <row r="6" spans="1:2" ht="90" customHeight="1" x14ac:dyDescent="0.25">
      <c r="A6" s="3" t="s">
        <v>364</v>
      </c>
      <c r="B6" s="2" t="s">
        <v>365</v>
      </c>
    </row>
    <row r="7" spans="1:2" ht="30" customHeight="1" x14ac:dyDescent="0.25">
      <c r="A7" s="3" t="s">
        <v>366</v>
      </c>
      <c r="B7" s="2" t="s">
        <v>367</v>
      </c>
    </row>
    <row r="8" spans="1:2" ht="18" customHeight="1" x14ac:dyDescent="0.25">
      <c r="A8" s="3" t="s">
        <v>368</v>
      </c>
      <c r="B8" s="2" t="s">
        <v>369</v>
      </c>
    </row>
    <row r="9" spans="1:2" ht="18" customHeight="1" x14ac:dyDescent="0.25">
      <c r="A9" s="3" t="s">
        <v>370</v>
      </c>
      <c r="B9" s="2" t="s">
        <v>371</v>
      </c>
    </row>
    <row r="10" spans="1:2" ht="30" customHeight="1" x14ac:dyDescent="0.25">
      <c r="A10" s="3" t="s">
        <v>372</v>
      </c>
      <c r="B10" s="2" t="s">
        <v>373</v>
      </c>
    </row>
    <row r="11" spans="1:2" ht="30" customHeight="1" x14ac:dyDescent="0.25">
      <c r="A11" s="3" t="s">
        <v>372</v>
      </c>
      <c r="B11" s="2" t="s">
        <v>374</v>
      </c>
    </row>
    <row r="12" spans="1:2" ht="30" customHeight="1" x14ac:dyDescent="0.25">
      <c r="A12" s="3" t="s">
        <v>6</v>
      </c>
      <c r="B12" s="2" t="s">
        <v>375</v>
      </c>
    </row>
    <row r="13" spans="1:2" ht="30" customHeight="1" x14ac:dyDescent="0.25">
      <c r="A13" s="3" t="s">
        <v>376</v>
      </c>
      <c r="B13" s="2" t="s">
        <v>377</v>
      </c>
    </row>
    <row r="14" spans="1:2" ht="30" customHeight="1" x14ac:dyDescent="0.25">
      <c r="A14" s="3" t="s">
        <v>378</v>
      </c>
      <c r="B14" s="2" t="s">
        <v>379</v>
      </c>
    </row>
  </sheetData>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10"/>
  <sheetViews>
    <sheetView zoomScaleNormal="100" workbookViewId="0">
      <pane ySplit="1" topLeftCell="A2" activePane="bottomLeft" state="frozen"/>
      <selection pane="bottomLeft"/>
    </sheetView>
  </sheetViews>
  <sheetFormatPr defaultColWidth="8.7109375" defaultRowHeight="15" x14ac:dyDescent="0.25"/>
  <cols>
    <col min="1" max="1" width="7" customWidth="1"/>
    <col min="2" max="2" width="26" customWidth="1"/>
    <col min="3" max="3" width="58" customWidth="1"/>
    <col min="4" max="4" width="9" customWidth="1"/>
    <col min="5" max="5" width="26" customWidth="1"/>
    <col min="6" max="6" width="8" customWidth="1"/>
    <col min="7" max="10" width="9" customWidth="1"/>
    <col min="11" max="11" width="10" customWidth="1"/>
    <col min="12" max="12" width="14" customWidth="1"/>
    <col min="13" max="13" width="22" customWidth="1"/>
  </cols>
  <sheetData>
    <row r="1" spans="1:13" ht="31.5" customHeight="1" x14ac:dyDescent="0.25">
      <c r="A1" s="4" t="s">
        <v>1</v>
      </c>
      <c r="B1" s="4" t="s">
        <v>380</v>
      </c>
      <c r="C1" s="4" t="s">
        <v>381</v>
      </c>
      <c r="D1" s="4" t="s">
        <v>382</v>
      </c>
      <c r="E1" s="4" t="s">
        <v>383</v>
      </c>
      <c r="F1" s="4" t="s">
        <v>384</v>
      </c>
      <c r="G1" s="4" t="s">
        <v>385</v>
      </c>
      <c r="H1" s="4" t="s">
        <v>386</v>
      </c>
      <c r="I1" s="4" t="s">
        <v>387</v>
      </c>
      <c r="J1" s="4" t="s">
        <v>388</v>
      </c>
      <c r="K1" s="4" t="s">
        <v>389</v>
      </c>
      <c r="L1" s="4" t="s">
        <v>390</v>
      </c>
      <c r="M1" s="4" t="s">
        <v>391</v>
      </c>
    </row>
    <row r="2" spans="1:13" ht="48" customHeight="1" x14ac:dyDescent="0.25">
      <c r="A2" s="5">
        <v>0</v>
      </c>
      <c r="B2" s="6" t="s">
        <v>392</v>
      </c>
      <c r="C2" s="7" t="s">
        <v>393</v>
      </c>
      <c r="D2" s="8">
        <v>1</v>
      </c>
      <c r="E2" s="7" t="s">
        <v>394</v>
      </c>
      <c r="F2" s="8">
        <f>COUNTIFS(Tasks!$B$2:$B$90,$A2)</f>
        <v>13</v>
      </c>
      <c r="G2" s="8">
        <f>COUNTIFS(Tasks!$B$2:$B$90,$A2,Tasks!$H$2:$H$90,"Done")</f>
        <v>0</v>
      </c>
      <c r="H2" s="8">
        <f>COUNTIFS('Test gates'!$B$2:$B$86,$A2)</f>
        <v>9</v>
      </c>
      <c r="I2" s="8">
        <f>COUNTIFS('Test gates'!$B$2:$B$86,$A2,'Test gates'!$J$2:$J$86,"Pass")</f>
        <v>0</v>
      </c>
      <c r="J2" s="8">
        <f>COUNTIFS('Test gates'!$B$2:$B$86,$A2,'Test gates'!$J$2:$J$86,"Fail")</f>
        <v>0</v>
      </c>
      <c r="K2" s="9">
        <f t="shared" ref="K2:K10" si="0">IF(F2+H2=0,0,(G2+I2)/(F2+H2))</f>
        <v>0</v>
      </c>
      <c r="L2" s="8" t="str">
        <f t="shared" ref="L2:L9" si="1">IF(AND(H2&gt;0,G2=F2,I2=H2),"Gate passed",IF(J2&gt;0,"Test failing",IF(G2+I2&gt;0,"In progress","Not started")))</f>
        <v>Not started</v>
      </c>
      <c r="M2" s="8" t="s">
        <v>20</v>
      </c>
    </row>
    <row r="3" spans="1:13" ht="48" customHeight="1" x14ac:dyDescent="0.25">
      <c r="A3" s="5">
        <v>1</v>
      </c>
      <c r="B3" s="6" t="s">
        <v>395</v>
      </c>
      <c r="C3" s="7" t="s">
        <v>396</v>
      </c>
      <c r="D3" s="8">
        <v>2</v>
      </c>
      <c r="E3" s="7" t="s">
        <v>397</v>
      </c>
      <c r="F3" s="8">
        <f>COUNTIFS(Tasks!$B$2:$B$90,$A3)</f>
        <v>11</v>
      </c>
      <c r="G3" s="8">
        <f>COUNTIFS(Tasks!$B$2:$B$90,$A3,Tasks!$H$2:$H$90,"Done")</f>
        <v>0</v>
      </c>
      <c r="H3" s="8">
        <f>COUNTIFS('Test gates'!$B$2:$B$86,$A3)</f>
        <v>9</v>
      </c>
      <c r="I3" s="8">
        <f>COUNTIFS('Test gates'!$B$2:$B$86,$A3,'Test gates'!$J$2:$J$86,"Pass")</f>
        <v>0</v>
      </c>
      <c r="J3" s="8">
        <f>COUNTIFS('Test gates'!$B$2:$B$86,$A3,'Test gates'!$J$2:$J$86,"Fail")</f>
        <v>0</v>
      </c>
      <c r="K3" s="9">
        <f t="shared" si="0"/>
        <v>0</v>
      </c>
      <c r="L3" s="8" t="str">
        <f t="shared" si="1"/>
        <v>Not started</v>
      </c>
      <c r="M3" s="8" t="str">
        <f t="shared" ref="M3:M9" si="2">IF(L2="Gate passed","Yes","No: stage "&amp;A2&amp;" gate open")</f>
        <v>No: stage 0 gate open</v>
      </c>
    </row>
    <row r="4" spans="1:13" ht="48" customHeight="1" x14ac:dyDescent="0.25">
      <c r="A4" s="5">
        <v>2</v>
      </c>
      <c r="B4" s="6" t="s">
        <v>398</v>
      </c>
      <c r="C4" s="7" t="s">
        <v>399</v>
      </c>
      <c r="D4" s="8">
        <v>5</v>
      </c>
      <c r="E4" s="7" t="s">
        <v>400</v>
      </c>
      <c r="F4" s="8">
        <f>COUNTIFS(Tasks!$B$2:$B$90,$A4)</f>
        <v>13</v>
      </c>
      <c r="G4" s="8">
        <f>COUNTIFS(Tasks!$B$2:$B$90,$A4,Tasks!$H$2:$H$90,"Done")</f>
        <v>0</v>
      </c>
      <c r="H4" s="8">
        <f>COUNTIFS('Test gates'!$B$2:$B$86,$A4)</f>
        <v>15</v>
      </c>
      <c r="I4" s="8">
        <f>COUNTIFS('Test gates'!$B$2:$B$86,$A4,'Test gates'!$J$2:$J$86,"Pass")</f>
        <v>0</v>
      </c>
      <c r="J4" s="8">
        <f>COUNTIFS('Test gates'!$B$2:$B$86,$A4,'Test gates'!$J$2:$J$86,"Fail")</f>
        <v>0</v>
      </c>
      <c r="K4" s="9">
        <f t="shared" si="0"/>
        <v>0</v>
      </c>
      <c r="L4" s="8" t="str">
        <f t="shared" si="1"/>
        <v>Not started</v>
      </c>
      <c r="M4" s="8" t="str">
        <f t="shared" si="2"/>
        <v>No: stage 1 gate open</v>
      </c>
    </row>
    <row r="5" spans="1:13" ht="48" customHeight="1" x14ac:dyDescent="0.25">
      <c r="A5" s="5">
        <v>3</v>
      </c>
      <c r="B5" s="6" t="s">
        <v>401</v>
      </c>
      <c r="C5" s="7" t="s">
        <v>402</v>
      </c>
      <c r="D5" s="8">
        <v>4</v>
      </c>
      <c r="E5" s="7" t="s">
        <v>403</v>
      </c>
      <c r="F5" s="8">
        <f>COUNTIFS(Tasks!$B$2:$B$90,$A5)</f>
        <v>11</v>
      </c>
      <c r="G5" s="8">
        <f>COUNTIFS(Tasks!$B$2:$B$90,$A5,Tasks!$H$2:$H$90,"Done")</f>
        <v>0</v>
      </c>
      <c r="H5" s="8">
        <f>COUNTIFS('Test gates'!$B$2:$B$86,$A5)</f>
        <v>13</v>
      </c>
      <c r="I5" s="8">
        <f>COUNTIFS('Test gates'!$B$2:$B$86,$A5,'Test gates'!$J$2:$J$86,"Pass")</f>
        <v>0</v>
      </c>
      <c r="J5" s="8">
        <f>COUNTIFS('Test gates'!$B$2:$B$86,$A5,'Test gates'!$J$2:$J$86,"Fail")</f>
        <v>0</v>
      </c>
      <c r="K5" s="9">
        <f t="shared" si="0"/>
        <v>0</v>
      </c>
      <c r="L5" s="8" t="str">
        <f t="shared" si="1"/>
        <v>Not started</v>
      </c>
      <c r="M5" s="8" t="str">
        <f t="shared" si="2"/>
        <v>No: stage 2 gate open</v>
      </c>
    </row>
    <row r="6" spans="1:13" ht="48" customHeight="1" x14ac:dyDescent="0.25">
      <c r="A6" s="5">
        <v>4</v>
      </c>
      <c r="B6" s="6" t="s">
        <v>404</v>
      </c>
      <c r="C6" s="7" t="s">
        <v>405</v>
      </c>
      <c r="D6" s="8">
        <v>3</v>
      </c>
      <c r="E6" s="7" t="s">
        <v>406</v>
      </c>
      <c r="F6" s="8">
        <f>COUNTIFS(Tasks!$B$2:$B$90,$A6)</f>
        <v>12</v>
      </c>
      <c r="G6" s="8">
        <f>COUNTIFS(Tasks!$B$2:$B$90,$A6,Tasks!$H$2:$H$90,"Done")</f>
        <v>0</v>
      </c>
      <c r="H6" s="8">
        <f>COUNTIFS('Test gates'!$B$2:$B$86,$A6)</f>
        <v>13</v>
      </c>
      <c r="I6" s="8">
        <f>COUNTIFS('Test gates'!$B$2:$B$86,$A6,'Test gates'!$J$2:$J$86,"Pass")</f>
        <v>0</v>
      </c>
      <c r="J6" s="8">
        <f>COUNTIFS('Test gates'!$B$2:$B$86,$A6,'Test gates'!$J$2:$J$86,"Fail")</f>
        <v>0</v>
      </c>
      <c r="K6" s="9">
        <f t="shared" si="0"/>
        <v>0</v>
      </c>
      <c r="L6" s="8" t="str">
        <f t="shared" si="1"/>
        <v>Not started</v>
      </c>
      <c r="M6" s="8" t="str">
        <f t="shared" si="2"/>
        <v>No: stage 3 gate open</v>
      </c>
    </row>
    <row r="7" spans="1:13" ht="48" customHeight="1" x14ac:dyDescent="0.25">
      <c r="A7" s="5">
        <v>5</v>
      </c>
      <c r="B7" s="6" t="s">
        <v>407</v>
      </c>
      <c r="C7" s="7" t="s">
        <v>408</v>
      </c>
      <c r="D7" s="8">
        <v>3</v>
      </c>
      <c r="E7" s="7" t="s">
        <v>409</v>
      </c>
      <c r="F7" s="8">
        <f>COUNTIFS(Tasks!$B$2:$B$90,$A7)</f>
        <v>9</v>
      </c>
      <c r="G7" s="8">
        <f>COUNTIFS(Tasks!$B$2:$B$90,$A7,Tasks!$H$2:$H$90,"Done")</f>
        <v>0</v>
      </c>
      <c r="H7" s="8">
        <f>COUNTIFS('Test gates'!$B$2:$B$86,$A7)</f>
        <v>8</v>
      </c>
      <c r="I7" s="8">
        <f>COUNTIFS('Test gates'!$B$2:$B$86,$A7,'Test gates'!$J$2:$J$86,"Pass")</f>
        <v>0</v>
      </c>
      <c r="J7" s="8">
        <f>COUNTIFS('Test gates'!$B$2:$B$86,$A7,'Test gates'!$J$2:$J$86,"Fail")</f>
        <v>0</v>
      </c>
      <c r="K7" s="9">
        <f t="shared" si="0"/>
        <v>0</v>
      </c>
      <c r="L7" s="8" t="str">
        <f t="shared" si="1"/>
        <v>Not started</v>
      </c>
      <c r="M7" s="8" t="str">
        <f t="shared" si="2"/>
        <v>No: stage 4 gate open</v>
      </c>
    </row>
    <row r="8" spans="1:13" ht="48" customHeight="1" x14ac:dyDescent="0.25">
      <c r="A8" s="5">
        <v>6</v>
      </c>
      <c r="B8" s="6" t="s">
        <v>410</v>
      </c>
      <c r="C8" s="7" t="s">
        <v>411</v>
      </c>
      <c r="D8" s="8">
        <v>2</v>
      </c>
      <c r="E8" s="7" t="s">
        <v>412</v>
      </c>
      <c r="F8" s="8">
        <f>COUNTIFS(Tasks!$B$2:$B$90,$A8)</f>
        <v>10</v>
      </c>
      <c r="G8" s="8">
        <f>COUNTIFS(Tasks!$B$2:$B$90,$A8,Tasks!$H$2:$H$90,"Done")</f>
        <v>0</v>
      </c>
      <c r="H8" s="8">
        <f>COUNTIFS('Test gates'!$B$2:$B$86,$A8)</f>
        <v>8</v>
      </c>
      <c r="I8" s="8">
        <f>COUNTIFS('Test gates'!$B$2:$B$86,$A8,'Test gates'!$J$2:$J$86,"Pass")</f>
        <v>0</v>
      </c>
      <c r="J8" s="8">
        <f>COUNTIFS('Test gates'!$B$2:$B$86,$A8,'Test gates'!$J$2:$J$86,"Fail")</f>
        <v>0</v>
      </c>
      <c r="K8" s="9">
        <f t="shared" si="0"/>
        <v>0</v>
      </c>
      <c r="L8" s="8" t="str">
        <f t="shared" si="1"/>
        <v>Not started</v>
      </c>
      <c r="M8" s="8" t="str">
        <f t="shared" si="2"/>
        <v>No: stage 5 gate open</v>
      </c>
    </row>
    <row r="9" spans="1:13" ht="48" customHeight="1" x14ac:dyDescent="0.25">
      <c r="A9" s="5">
        <v>7</v>
      </c>
      <c r="B9" s="6" t="s">
        <v>413</v>
      </c>
      <c r="C9" s="7" t="s">
        <v>414</v>
      </c>
      <c r="D9" s="8">
        <v>3</v>
      </c>
      <c r="E9" s="7" t="s">
        <v>415</v>
      </c>
      <c r="F9" s="8">
        <f>COUNTIFS(Tasks!$B$2:$B$90,$A9)</f>
        <v>10</v>
      </c>
      <c r="G9" s="8">
        <f>COUNTIFS(Tasks!$B$2:$B$90,$A9,Tasks!$H$2:$H$90,"Done")</f>
        <v>0</v>
      </c>
      <c r="H9" s="8">
        <f>COUNTIFS('Test gates'!$B$2:$B$86,$A9)</f>
        <v>10</v>
      </c>
      <c r="I9" s="8">
        <f>COUNTIFS('Test gates'!$B$2:$B$86,$A9,'Test gates'!$J$2:$J$86,"Pass")</f>
        <v>0</v>
      </c>
      <c r="J9" s="8">
        <f>COUNTIFS('Test gates'!$B$2:$B$86,$A9,'Test gates'!$J$2:$J$86,"Fail")</f>
        <v>0</v>
      </c>
      <c r="K9" s="9">
        <f t="shared" si="0"/>
        <v>0</v>
      </c>
      <c r="L9" s="8" t="str">
        <f t="shared" si="1"/>
        <v>Not started</v>
      </c>
      <c r="M9" s="8" t="str">
        <f t="shared" si="2"/>
        <v>No: stage 6 gate open</v>
      </c>
    </row>
    <row r="10" spans="1:13" ht="15" customHeight="1" x14ac:dyDescent="0.25">
      <c r="A10" s="7"/>
      <c r="B10" s="6" t="s">
        <v>416</v>
      </c>
      <c r="C10" s="7"/>
      <c r="D10" s="5">
        <f>SUM(D2:D9)</f>
        <v>23</v>
      </c>
      <c r="E10" s="7"/>
      <c r="F10" s="5">
        <f>SUM(F2:F9)</f>
        <v>89</v>
      </c>
      <c r="G10" s="5">
        <f>SUM(G2:G9)</f>
        <v>0</v>
      </c>
      <c r="H10" s="5">
        <f>SUM(H2:H9)</f>
        <v>85</v>
      </c>
      <c r="I10" s="5">
        <f>SUM(I2:I9)</f>
        <v>0</v>
      </c>
      <c r="J10" s="5">
        <f>SUM(J2:J9)</f>
        <v>0</v>
      </c>
      <c r="K10" s="10">
        <f t="shared" si="0"/>
        <v>0</v>
      </c>
      <c r="L10" s="7"/>
      <c r="M10" s="7"/>
    </row>
  </sheetData>
  <conditionalFormatting sqref="L2:L9">
    <cfRule type="cellIs" dxfId="10" priority="2" operator="equal">
      <formula>"Gate passed"</formula>
    </cfRule>
    <cfRule type="cellIs" dxfId="9" priority="3" operator="equal">
      <formula>"In progress"</formula>
    </cfRule>
    <cfRule type="cellIs" dxfId="8" priority="4" operator="equal">
      <formula>"Test failing"</formula>
    </cfRule>
  </conditionalFormatting>
  <conditionalFormatting sqref="M2:M9">
    <cfRule type="cellIs" dxfId="7" priority="5" operator="equal">
      <formula>"Yes"</formula>
    </cfRule>
    <cfRule type="expression" dxfId="6" priority="6">
      <formula>LEFT(M2,2)="No"</formula>
    </cfRule>
  </conditionalFormatting>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90"/>
  <sheetViews>
    <sheetView tabSelected="1" zoomScale="70" zoomScaleNormal="70" workbookViewId="0">
      <pane ySplit="1" topLeftCell="A47" activePane="bottomLeft" state="frozen"/>
      <selection pane="bottomLeft" activeCell="D79" sqref="D79"/>
    </sheetView>
  </sheetViews>
  <sheetFormatPr defaultColWidth="8.7109375" defaultRowHeight="15" x14ac:dyDescent="0.25"/>
  <cols>
    <col min="1" max="1" width="10" customWidth="1"/>
    <col min="2" max="2" width="7" customWidth="1"/>
    <col min="3" max="3" width="6" customWidth="1"/>
    <col min="4" max="4" width="34" customWidth="1"/>
    <col min="5" max="5" width="60" customWidth="1"/>
    <col min="6" max="6" width="16" customWidth="1"/>
    <col min="7" max="7" width="10" customWidth="1"/>
    <col min="8" max="9" width="13" customWidth="1"/>
    <col min="10" max="10" width="30" customWidth="1"/>
  </cols>
  <sheetData>
    <row r="1" spans="1:10" ht="31.5" customHeight="1" x14ac:dyDescent="0.25">
      <c r="A1" s="4" t="s">
        <v>0</v>
      </c>
      <c r="B1" s="4" t="s">
        <v>1</v>
      </c>
      <c r="C1" s="4" t="s">
        <v>2</v>
      </c>
      <c r="D1" s="4" t="s">
        <v>3</v>
      </c>
      <c r="E1" s="4" t="s">
        <v>4</v>
      </c>
      <c r="F1" s="4" t="s">
        <v>5</v>
      </c>
      <c r="G1" s="4" t="s">
        <v>6</v>
      </c>
      <c r="H1" s="11" t="s">
        <v>7</v>
      </c>
      <c r="I1" s="11" t="s">
        <v>8</v>
      </c>
      <c r="J1" s="11" t="s">
        <v>9</v>
      </c>
    </row>
    <row r="2" spans="1:10" ht="23.85" customHeight="1" x14ac:dyDescent="0.25">
      <c r="A2" s="6" t="s">
        <v>10</v>
      </c>
      <c r="B2" s="8">
        <v>0</v>
      </c>
      <c r="C2" s="8">
        <v>1</v>
      </c>
      <c r="D2" s="7" t="s">
        <v>11</v>
      </c>
      <c r="E2" s="7" t="s">
        <v>12</v>
      </c>
      <c r="F2" s="7" t="s">
        <v>13</v>
      </c>
      <c r="G2" s="8" t="s">
        <v>14</v>
      </c>
      <c r="H2" s="15" t="s">
        <v>884</v>
      </c>
      <c r="I2" s="13"/>
      <c r="J2" s="14"/>
    </row>
    <row r="3" spans="1:10" ht="23.85" customHeight="1" x14ac:dyDescent="0.25">
      <c r="A3" s="6" t="s">
        <v>16</v>
      </c>
      <c r="B3" s="8">
        <v>0</v>
      </c>
      <c r="C3" s="8">
        <v>2</v>
      </c>
      <c r="D3" s="7" t="s">
        <v>17</v>
      </c>
      <c r="E3" s="7" t="s">
        <v>18</v>
      </c>
      <c r="F3" s="7" t="s">
        <v>19</v>
      </c>
      <c r="G3" s="8" t="s">
        <v>20</v>
      </c>
      <c r="H3" s="15" t="s">
        <v>884</v>
      </c>
      <c r="I3" s="13"/>
      <c r="J3" s="14"/>
    </row>
    <row r="4" spans="1:10" ht="15" customHeight="1" x14ac:dyDescent="0.25">
      <c r="A4" s="6" t="s">
        <v>21</v>
      </c>
      <c r="B4" s="8">
        <v>0</v>
      </c>
      <c r="C4" s="8">
        <v>3</v>
      </c>
      <c r="D4" s="7" t="s">
        <v>22</v>
      </c>
      <c r="E4" s="7" t="s">
        <v>23</v>
      </c>
      <c r="F4" s="7" t="s">
        <v>24</v>
      </c>
      <c r="G4" s="8" t="s">
        <v>20</v>
      </c>
      <c r="H4" s="15" t="s">
        <v>884</v>
      </c>
      <c r="I4" s="13"/>
      <c r="J4" s="14"/>
    </row>
    <row r="5" spans="1:10" ht="35.1" customHeight="1" x14ac:dyDescent="0.25">
      <c r="A5" s="6" t="s">
        <v>25</v>
      </c>
      <c r="B5" s="8">
        <v>0</v>
      </c>
      <c r="C5" s="8">
        <v>4</v>
      </c>
      <c r="D5" s="7" t="s">
        <v>26</v>
      </c>
      <c r="E5" s="7" t="s">
        <v>27</v>
      </c>
      <c r="F5" s="7" t="s">
        <v>28</v>
      </c>
      <c r="G5" s="8" t="s">
        <v>14</v>
      </c>
      <c r="H5" s="15" t="s">
        <v>884</v>
      </c>
      <c r="I5" s="13"/>
      <c r="J5" s="14"/>
    </row>
    <row r="6" spans="1:10" ht="23.85" customHeight="1" x14ac:dyDescent="0.25">
      <c r="A6" s="6" t="s">
        <v>29</v>
      </c>
      <c r="B6" s="8">
        <v>0</v>
      </c>
      <c r="C6" s="8">
        <v>5</v>
      </c>
      <c r="D6" s="7" t="s">
        <v>30</v>
      </c>
      <c r="E6" s="7" t="s">
        <v>31</v>
      </c>
      <c r="F6" s="7" t="s">
        <v>32</v>
      </c>
      <c r="G6" s="8" t="s">
        <v>20</v>
      </c>
      <c r="H6" s="15" t="s">
        <v>884</v>
      </c>
      <c r="I6" s="13"/>
      <c r="J6" s="14"/>
    </row>
    <row r="7" spans="1:10" ht="23.85" customHeight="1" x14ac:dyDescent="0.25">
      <c r="A7" s="6" t="s">
        <v>33</v>
      </c>
      <c r="B7" s="8">
        <v>0</v>
      </c>
      <c r="C7" s="8">
        <v>6</v>
      </c>
      <c r="D7" s="7" t="s">
        <v>34</v>
      </c>
      <c r="E7" s="7" t="s">
        <v>35</v>
      </c>
      <c r="F7" s="7" t="s">
        <v>28</v>
      </c>
      <c r="G7" s="8" t="s">
        <v>14</v>
      </c>
      <c r="H7" s="15" t="s">
        <v>884</v>
      </c>
      <c r="I7" s="13"/>
      <c r="J7" s="14"/>
    </row>
    <row r="8" spans="1:10" ht="15" customHeight="1" x14ac:dyDescent="0.25">
      <c r="A8" s="6" t="s">
        <v>36</v>
      </c>
      <c r="B8" s="8">
        <v>0</v>
      </c>
      <c r="C8" s="8">
        <v>7</v>
      </c>
      <c r="D8" s="7" t="s">
        <v>37</v>
      </c>
      <c r="E8" s="7" t="s">
        <v>38</v>
      </c>
      <c r="F8" s="7" t="s">
        <v>39</v>
      </c>
      <c r="G8" s="8" t="s">
        <v>20</v>
      </c>
      <c r="H8" s="15" t="s">
        <v>884</v>
      </c>
      <c r="I8" s="13"/>
      <c r="J8" s="14"/>
    </row>
    <row r="9" spans="1:10" ht="23.85" customHeight="1" x14ac:dyDescent="0.25">
      <c r="A9" s="6" t="s">
        <v>40</v>
      </c>
      <c r="B9" s="8">
        <v>0</v>
      </c>
      <c r="C9" s="8">
        <v>8</v>
      </c>
      <c r="D9" s="7" t="s">
        <v>41</v>
      </c>
      <c r="E9" s="7" t="s">
        <v>42</v>
      </c>
      <c r="F9" s="7" t="s">
        <v>28</v>
      </c>
      <c r="G9" s="8" t="s">
        <v>14</v>
      </c>
      <c r="H9" s="15" t="s">
        <v>884</v>
      </c>
      <c r="I9" s="13"/>
      <c r="J9" s="14"/>
    </row>
    <row r="10" spans="1:10" ht="23.85" customHeight="1" x14ac:dyDescent="0.25">
      <c r="A10" s="6" t="s">
        <v>43</v>
      </c>
      <c r="B10" s="8">
        <v>0</v>
      </c>
      <c r="C10" s="8">
        <v>9</v>
      </c>
      <c r="D10" s="7" t="s">
        <v>44</v>
      </c>
      <c r="E10" s="7" t="s">
        <v>45</v>
      </c>
      <c r="F10" s="7" t="s">
        <v>46</v>
      </c>
      <c r="G10" s="8" t="s">
        <v>20</v>
      </c>
      <c r="H10" s="15" t="s">
        <v>884</v>
      </c>
      <c r="I10" s="13"/>
      <c r="J10" s="14"/>
    </row>
    <row r="11" spans="1:10" ht="15" customHeight="1" x14ac:dyDescent="0.25">
      <c r="A11" s="6" t="s">
        <v>47</v>
      </c>
      <c r="B11" s="8">
        <v>0</v>
      </c>
      <c r="C11" s="8">
        <v>10</v>
      </c>
      <c r="D11" s="7" t="s">
        <v>48</v>
      </c>
      <c r="E11" s="7" t="s">
        <v>49</v>
      </c>
      <c r="F11" s="7" t="s">
        <v>28</v>
      </c>
      <c r="G11" s="8" t="s">
        <v>14</v>
      </c>
      <c r="H11" s="15" t="s">
        <v>884</v>
      </c>
      <c r="I11" s="13"/>
      <c r="J11" s="14"/>
    </row>
    <row r="12" spans="1:10" ht="23.85" customHeight="1" x14ac:dyDescent="0.25">
      <c r="A12" s="6" t="s">
        <v>50</v>
      </c>
      <c r="B12" s="8">
        <v>0</v>
      </c>
      <c r="C12" s="8">
        <v>11</v>
      </c>
      <c r="D12" s="7" t="s">
        <v>51</v>
      </c>
      <c r="E12" s="7" t="s">
        <v>52</v>
      </c>
      <c r="F12" s="7" t="s">
        <v>53</v>
      </c>
      <c r="G12" s="8" t="s">
        <v>14</v>
      </c>
      <c r="H12" s="15" t="s">
        <v>884</v>
      </c>
      <c r="I12" s="13"/>
      <c r="J12" s="14"/>
    </row>
    <row r="13" spans="1:10" ht="23.85" customHeight="1" x14ac:dyDescent="0.25">
      <c r="A13" s="6" t="s">
        <v>54</v>
      </c>
      <c r="B13" s="8">
        <v>0</v>
      </c>
      <c r="C13" s="8">
        <v>12</v>
      </c>
      <c r="D13" s="7" t="s">
        <v>55</v>
      </c>
      <c r="E13" s="7" t="s">
        <v>56</v>
      </c>
      <c r="F13" s="7" t="s">
        <v>57</v>
      </c>
      <c r="G13" s="8" t="s">
        <v>20</v>
      </c>
      <c r="H13" s="15" t="s">
        <v>884</v>
      </c>
      <c r="I13" s="13"/>
      <c r="J13" s="14"/>
    </row>
    <row r="14" spans="1:10" ht="23.85" customHeight="1" x14ac:dyDescent="0.25">
      <c r="A14" s="6" t="s">
        <v>58</v>
      </c>
      <c r="B14" s="8">
        <v>0</v>
      </c>
      <c r="C14" s="8">
        <v>13</v>
      </c>
      <c r="D14" s="7" t="s">
        <v>59</v>
      </c>
      <c r="E14" s="7" t="s">
        <v>60</v>
      </c>
      <c r="F14" s="7" t="s">
        <v>61</v>
      </c>
      <c r="G14" s="8" t="s">
        <v>20</v>
      </c>
      <c r="H14" s="15" t="s">
        <v>884</v>
      </c>
      <c r="I14" s="13"/>
      <c r="J14" s="14"/>
    </row>
    <row r="15" spans="1:10" ht="35.1" customHeight="1" x14ac:dyDescent="0.25">
      <c r="A15" s="6" t="s">
        <v>62</v>
      </c>
      <c r="B15" s="8">
        <v>1</v>
      </c>
      <c r="C15" s="8">
        <v>1</v>
      </c>
      <c r="D15" s="7" t="s">
        <v>63</v>
      </c>
      <c r="E15" s="7" t="s">
        <v>64</v>
      </c>
      <c r="F15" s="7" t="s">
        <v>65</v>
      </c>
      <c r="G15" s="8" t="s">
        <v>20</v>
      </c>
      <c r="H15" s="15" t="s">
        <v>884</v>
      </c>
      <c r="I15" s="13"/>
      <c r="J15" s="14"/>
    </row>
    <row r="16" spans="1:10" ht="23.85" customHeight="1" x14ac:dyDescent="0.25">
      <c r="A16" s="6" t="s">
        <v>66</v>
      </c>
      <c r="B16" s="8">
        <v>1</v>
      </c>
      <c r="C16" s="8">
        <v>2</v>
      </c>
      <c r="D16" s="7" t="s">
        <v>67</v>
      </c>
      <c r="E16" s="7" t="s">
        <v>68</v>
      </c>
      <c r="F16" s="7" t="s">
        <v>28</v>
      </c>
      <c r="G16" s="8" t="s">
        <v>20</v>
      </c>
      <c r="H16" s="15" t="s">
        <v>884</v>
      </c>
      <c r="I16" s="13"/>
      <c r="J16" s="14"/>
    </row>
    <row r="17" spans="1:10" ht="23.85" customHeight="1" x14ac:dyDescent="0.25">
      <c r="A17" s="6" t="s">
        <v>69</v>
      </c>
      <c r="B17" s="8">
        <v>1</v>
      </c>
      <c r="C17" s="8">
        <v>3</v>
      </c>
      <c r="D17" s="7" t="s">
        <v>70</v>
      </c>
      <c r="E17" s="7" t="s">
        <v>71</v>
      </c>
      <c r="F17" s="7" t="s">
        <v>72</v>
      </c>
      <c r="G17" s="8" t="s">
        <v>14</v>
      </c>
      <c r="H17" s="15" t="s">
        <v>884</v>
      </c>
      <c r="I17" s="13"/>
      <c r="J17" s="14"/>
    </row>
    <row r="18" spans="1:10" ht="23.85" customHeight="1" x14ac:dyDescent="0.25">
      <c r="A18" s="6" t="s">
        <v>73</v>
      </c>
      <c r="B18" s="8">
        <v>1</v>
      </c>
      <c r="C18" s="8">
        <v>4</v>
      </c>
      <c r="D18" s="7" t="s">
        <v>74</v>
      </c>
      <c r="E18" s="7" t="s">
        <v>75</v>
      </c>
      <c r="F18" s="7" t="s">
        <v>72</v>
      </c>
      <c r="G18" s="8" t="s">
        <v>14</v>
      </c>
      <c r="H18" s="15" t="s">
        <v>884</v>
      </c>
      <c r="I18" s="13"/>
      <c r="J18" s="14"/>
    </row>
    <row r="19" spans="1:10" ht="23.85" customHeight="1" x14ac:dyDescent="0.25">
      <c r="A19" s="6" t="s">
        <v>76</v>
      </c>
      <c r="B19" s="8">
        <v>1</v>
      </c>
      <c r="C19" s="8">
        <v>5</v>
      </c>
      <c r="D19" s="7" t="s">
        <v>77</v>
      </c>
      <c r="E19" s="7" t="s">
        <v>78</v>
      </c>
      <c r="F19" s="7" t="s">
        <v>79</v>
      </c>
      <c r="G19" s="8" t="s">
        <v>14</v>
      </c>
      <c r="H19" s="15" t="s">
        <v>884</v>
      </c>
      <c r="I19" s="13"/>
      <c r="J19" s="14"/>
    </row>
    <row r="20" spans="1:10" ht="23.85" customHeight="1" x14ac:dyDescent="0.25">
      <c r="A20" s="6" t="s">
        <v>80</v>
      </c>
      <c r="B20" s="8">
        <v>1</v>
      </c>
      <c r="C20" s="8">
        <v>6</v>
      </c>
      <c r="D20" s="7" t="s">
        <v>81</v>
      </c>
      <c r="E20" s="7" t="s">
        <v>82</v>
      </c>
      <c r="F20" s="7" t="s">
        <v>83</v>
      </c>
      <c r="G20" s="8" t="s">
        <v>20</v>
      </c>
      <c r="H20" s="15" t="s">
        <v>884</v>
      </c>
      <c r="I20" s="13"/>
      <c r="J20" s="14"/>
    </row>
    <row r="21" spans="1:10" ht="23.85" customHeight="1" x14ac:dyDescent="0.25">
      <c r="A21" s="6" t="s">
        <v>84</v>
      </c>
      <c r="B21" s="8">
        <v>1</v>
      </c>
      <c r="C21" s="8">
        <v>7</v>
      </c>
      <c r="D21" s="7" t="s">
        <v>85</v>
      </c>
      <c r="E21" s="7" t="s">
        <v>86</v>
      </c>
      <c r="F21" s="7" t="s">
        <v>87</v>
      </c>
      <c r="G21" s="8" t="s">
        <v>14</v>
      </c>
      <c r="H21" s="15" t="s">
        <v>884</v>
      </c>
      <c r="I21" s="13"/>
      <c r="J21" s="14"/>
    </row>
    <row r="22" spans="1:10" ht="23.85" customHeight="1" x14ac:dyDescent="0.25">
      <c r="A22" s="6" t="s">
        <v>88</v>
      </c>
      <c r="B22" s="8">
        <v>1</v>
      </c>
      <c r="C22" s="8">
        <v>8</v>
      </c>
      <c r="D22" s="7" t="s">
        <v>89</v>
      </c>
      <c r="E22" s="7" t="s">
        <v>90</v>
      </c>
      <c r="F22" s="7" t="s">
        <v>91</v>
      </c>
      <c r="G22" s="8" t="s">
        <v>14</v>
      </c>
      <c r="H22" s="15" t="s">
        <v>884</v>
      </c>
      <c r="I22" s="13"/>
      <c r="J22" s="14"/>
    </row>
    <row r="23" spans="1:10" ht="15" customHeight="1" x14ac:dyDescent="0.25">
      <c r="A23" s="6" t="s">
        <v>92</v>
      </c>
      <c r="B23" s="8">
        <v>1</v>
      </c>
      <c r="C23" s="8">
        <v>9</v>
      </c>
      <c r="D23" s="7" t="s">
        <v>93</v>
      </c>
      <c r="E23" s="7" t="s">
        <v>94</v>
      </c>
      <c r="F23" s="7" t="s">
        <v>95</v>
      </c>
      <c r="G23" s="8" t="s">
        <v>14</v>
      </c>
      <c r="H23" s="15" t="s">
        <v>884</v>
      </c>
      <c r="I23" s="13"/>
      <c r="J23" s="14"/>
    </row>
    <row r="24" spans="1:10" ht="15" customHeight="1" x14ac:dyDescent="0.25">
      <c r="A24" s="6" t="s">
        <v>96</v>
      </c>
      <c r="B24" s="8">
        <v>1</v>
      </c>
      <c r="C24" s="8">
        <v>10</v>
      </c>
      <c r="D24" s="7" t="s">
        <v>97</v>
      </c>
      <c r="E24" s="7" t="s">
        <v>98</v>
      </c>
      <c r="F24" s="7" t="s">
        <v>99</v>
      </c>
      <c r="G24" s="8" t="s">
        <v>20</v>
      </c>
      <c r="H24" s="15" t="s">
        <v>884</v>
      </c>
      <c r="I24" s="13"/>
      <c r="J24" s="14"/>
    </row>
    <row r="25" spans="1:10" ht="23.85" customHeight="1" x14ac:dyDescent="0.25">
      <c r="A25" s="6" t="s">
        <v>100</v>
      </c>
      <c r="B25" s="8">
        <v>1</v>
      </c>
      <c r="C25" s="8">
        <v>11</v>
      </c>
      <c r="D25" s="7" t="s">
        <v>101</v>
      </c>
      <c r="E25" s="7" t="s">
        <v>102</v>
      </c>
      <c r="F25" s="7" t="s">
        <v>103</v>
      </c>
      <c r="G25" s="8" t="s">
        <v>20</v>
      </c>
      <c r="H25" s="15" t="s">
        <v>884</v>
      </c>
      <c r="I25" s="13"/>
      <c r="J25" s="14"/>
    </row>
    <row r="26" spans="1:10" ht="23.85" customHeight="1" x14ac:dyDescent="0.25">
      <c r="A26" s="6" t="s">
        <v>104</v>
      </c>
      <c r="B26" s="8">
        <v>2</v>
      </c>
      <c r="C26" s="8">
        <v>1</v>
      </c>
      <c r="D26" s="7" t="s">
        <v>105</v>
      </c>
      <c r="E26" s="7" t="s">
        <v>106</v>
      </c>
      <c r="F26" s="7" t="s">
        <v>107</v>
      </c>
      <c r="G26" s="8" t="s">
        <v>20</v>
      </c>
      <c r="H26" s="15" t="s">
        <v>884</v>
      </c>
      <c r="I26" s="13"/>
      <c r="J26" s="14"/>
    </row>
    <row r="27" spans="1:10" ht="23.85" customHeight="1" x14ac:dyDescent="0.25">
      <c r="A27" s="6" t="s">
        <v>108</v>
      </c>
      <c r="B27" s="8">
        <v>2</v>
      </c>
      <c r="C27" s="8">
        <v>2</v>
      </c>
      <c r="D27" s="7" t="s">
        <v>109</v>
      </c>
      <c r="E27" s="7" t="s">
        <v>110</v>
      </c>
      <c r="F27" s="7" t="s">
        <v>111</v>
      </c>
      <c r="G27" s="8" t="s">
        <v>20</v>
      </c>
      <c r="H27" s="15" t="s">
        <v>884</v>
      </c>
      <c r="I27" s="13"/>
      <c r="J27" s="14"/>
    </row>
    <row r="28" spans="1:10" ht="23.85" customHeight="1" x14ac:dyDescent="0.25">
      <c r="A28" s="6" t="s">
        <v>112</v>
      </c>
      <c r="B28" s="8">
        <v>2</v>
      </c>
      <c r="C28" s="8">
        <v>3</v>
      </c>
      <c r="D28" s="7" t="s">
        <v>113</v>
      </c>
      <c r="E28" s="7" t="s">
        <v>114</v>
      </c>
      <c r="F28" s="7" t="s">
        <v>115</v>
      </c>
      <c r="G28" s="8" t="s">
        <v>20</v>
      </c>
      <c r="H28" s="15" t="s">
        <v>884</v>
      </c>
      <c r="I28" s="13"/>
      <c r="J28" s="14"/>
    </row>
    <row r="29" spans="1:10" ht="23.85" customHeight="1" x14ac:dyDescent="0.25">
      <c r="A29" s="6" t="s">
        <v>116</v>
      </c>
      <c r="B29" s="8">
        <v>2</v>
      </c>
      <c r="C29" s="8">
        <v>4</v>
      </c>
      <c r="D29" s="7" t="s">
        <v>117</v>
      </c>
      <c r="E29" s="7" t="s">
        <v>118</v>
      </c>
      <c r="F29" s="7" t="s">
        <v>119</v>
      </c>
      <c r="G29" s="8" t="s">
        <v>20</v>
      </c>
      <c r="H29" s="15" t="s">
        <v>884</v>
      </c>
      <c r="I29" s="13"/>
      <c r="J29" s="14"/>
    </row>
    <row r="30" spans="1:10" ht="23.85" customHeight="1" x14ac:dyDescent="0.25">
      <c r="A30" s="6" t="s">
        <v>120</v>
      </c>
      <c r="B30" s="8">
        <v>2</v>
      </c>
      <c r="C30" s="8">
        <v>5</v>
      </c>
      <c r="D30" s="7" t="s">
        <v>121</v>
      </c>
      <c r="E30" s="7" t="s">
        <v>122</v>
      </c>
      <c r="F30" s="7" t="s">
        <v>123</v>
      </c>
      <c r="G30" s="8" t="s">
        <v>14</v>
      </c>
      <c r="H30" s="15" t="s">
        <v>884</v>
      </c>
      <c r="I30" s="13"/>
      <c r="J30" s="14"/>
    </row>
    <row r="31" spans="1:10" ht="15" customHeight="1" x14ac:dyDescent="0.25">
      <c r="A31" s="6" t="s">
        <v>124</v>
      </c>
      <c r="B31" s="8">
        <v>2</v>
      </c>
      <c r="C31" s="8">
        <v>6</v>
      </c>
      <c r="D31" s="7" t="s">
        <v>125</v>
      </c>
      <c r="E31" s="7" t="s">
        <v>126</v>
      </c>
      <c r="F31" s="7" t="s">
        <v>127</v>
      </c>
      <c r="G31" s="8" t="s">
        <v>20</v>
      </c>
      <c r="H31" s="15" t="s">
        <v>884</v>
      </c>
      <c r="I31" s="13"/>
      <c r="J31" s="14"/>
    </row>
    <row r="32" spans="1:10" ht="23.85" customHeight="1" x14ac:dyDescent="0.25">
      <c r="A32" s="6" t="s">
        <v>128</v>
      </c>
      <c r="B32" s="8">
        <v>2</v>
      </c>
      <c r="C32" s="8">
        <v>7</v>
      </c>
      <c r="D32" s="7" t="s">
        <v>129</v>
      </c>
      <c r="E32" s="7" t="s">
        <v>130</v>
      </c>
      <c r="F32" s="7" t="s">
        <v>131</v>
      </c>
      <c r="G32" s="8" t="s">
        <v>14</v>
      </c>
      <c r="H32" s="15" t="s">
        <v>884</v>
      </c>
      <c r="I32" s="13"/>
      <c r="J32" s="14"/>
    </row>
    <row r="33" spans="1:10" ht="23.85" customHeight="1" x14ac:dyDescent="0.25">
      <c r="A33" s="6" t="s">
        <v>132</v>
      </c>
      <c r="B33" s="8">
        <v>2</v>
      </c>
      <c r="C33" s="8">
        <v>8</v>
      </c>
      <c r="D33" s="7" t="s">
        <v>133</v>
      </c>
      <c r="E33" s="7" t="s">
        <v>134</v>
      </c>
      <c r="F33" s="7" t="s">
        <v>135</v>
      </c>
      <c r="G33" s="8" t="s">
        <v>20</v>
      </c>
      <c r="H33" s="15" t="s">
        <v>884</v>
      </c>
      <c r="I33" s="13"/>
      <c r="J33" s="14"/>
    </row>
    <row r="34" spans="1:10" ht="23.85" customHeight="1" x14ac:dyDescent="0.25">
      <c r="A34" s="6" t="s">
        <v>136</v>
      </c>
      <c r="B34" s="8">
        <v>2</v>
      </c>
      <c r="C34" s="8">
        <v>9</v>
      </c>
      <c r="D34" s="7" t="s">
        <v>137</v>
      </c>
      <c r="E34" s="7" t="s">
        <v>138</v>
      </c>
      <c r="F34" s="7" t="s">
        <v>139</v>
      </c>
      <c r="G34" s="8" t="s">
        <v>20</v>
      </c>
      <c r="H34" s="15" t="s">
        <v>884</v>
      </c>
      <c r="I34" s="13"/>
      <c r="J34" s="14"/>
    </row>
    <row r="35" spans="1:10" ht="23.85" customHeight="1" x14ac:dyDescent="0.25">
      <c r="A35" s="6" t="s">
        <v>140</v>
      </c>
      <c r="B35" s="8">
        <v>2</v>
      </c>
      <c r="C35" s="8">
        <v>10</v>
      </c>
      <c r="D35" s="7" t="s">
        <v>141</v>
      </c>
      <c r="E35" s="7" t="s">
        <v>142</v>
      </c>
      <c r="F35" s="7" t="s">
        <v>143</v>
      </c>
      <c r="G35" s="8" t="s">
        <v>14</v>
      </c>
      <c r="H35" s="15" t="s">
        <v>884</v>
      </c>
      <c r="I35" s="13"/>
      <c r="J35" s="14"/>
    </row>
    <row r="36" spans="1:10" ht="23.85" customHeight="1" x14ac:dyDescent="0.25">
      <c r="A36" s="6" t="s">
        <v>144</v>
      </c>
      <c r="B36" s="8">
        <v>2</v>
      </c>
      <c r="C36" s="8">
        <v>11</v>
      </c>
      <c r="D36" s="7" t="s">
        <v>145</v>
      </c>
      <c r="E36" s="7" t="s">
        <v>146</v>
      </c>
      <c r="F36" s="7" t="s">
        <v>87</v>
      </c>
      <c r="G36" s="8" t="s">
        <v>14</v>
      </c>
      <c r="H36" s="15" t="s">
        <v>884</v>
      </c>
      <c r="I36" s="13"/>
      <c r="J36" s="14"/>
    </row>
    <row r="37" spans="1:10" ht="23.85" customHeight="1" x14ac:dyDescent="0.25">
      <c r="A37" s="6" t="s">
        <v>147</v>
      </c>
      <c r="B37" s="8">
        <v>2</v>
      </c>
      <c r="C37" s="8">
        <v>12</v>
      </c>
      <c r="D37" s="7" t="s">
        <v>148</v>
      </c>
      <c r="E37" s="7" t="s">
        <v>149</v>
      </c>
      <c r="F37" s="7" t="s">
        <v>150</v>
      </c>
      <c r="G37" s="8" t="s">
        <v>14</v>
      </c>
      <c r="H37" s="15" t="s">
        <v>884</v>
      </c>
      <c r="I37" s="13"/>
      <c r="J37" s="14"/>
    </row>
    <row r="38" spans="1:10" ht="23.85" customHeight="1" x14ac:dyDescent="0.25">
      <c r="A38" s="6" t="s">
        <v>151</v>
      </c>
      <c r="B38" s="8">
        <v>2</v>
      </c>
      <c r="C38" s="8">
        <v>13</v>
      </c>
      <c r="D38" s="7" t="s">
        <v>152</v>
      </c>
      <c r="E38" s="7" t="s">
        <v>153</v>
      </c>
      <c r="F38" s="7" t="s">
        <v>53</v>
      </c>
      <c r="G38" s="8" t="s">
        <v>20</v>
      </c>
      <c r="H38" s="15" t="s">
        <v>884</v>
      </c>
      <c r="I38" s="13"/>
      <c r="J38" s="14"/>
    </row>
    <row r="39" spans="1:10" ht="23.85" customHeight="1" x14ac:dyDescent="0.25">
      <c r="A39" s="6" t="s">
        <v>154</v>
      </c>
      <c r="B39" s="8">
        <v>3</v>
      </c>
      <c r="C39" s="8">
        <v>1</v>
      </c>
      <c r="D39" s="7" t="s">
        <v>155</v>
      </c>
      <c r="E39" s="7" t="s">
        <v>156</v>
      </c>
      <c r="F39" s="7" t="s">
        <v>95</v>
      </c>
      <c r="G39" s="8" t="s">
        <v>20</v>
      </c>
      <c r="H39" s="15" t="s">
        <v>884</v>
      </c>
      <c r="I39" s="13"/>
      <c r="J39" s="14"/>
    </row>
    <row r="40" spans="1:10" ht="23.85" customHeight="1" x14ac:dyDescent="0.25">
      <c r="A40" s="6" t="s">
        <v>157</v>
      </c>
      <c r="B40" s="8">
        <v>3</v>
      </c>
      <c r="C40" s="8">
        <v>2</v>
      </c>
      <c r="D40" s="7" t="s">
        <v>158</v>
      </c>
      <c r="E40" s="7" t="s">
        <v>159</v>
      </c>
      <c r="F40" s="7" t="s">
        <v>95</v>
      </c>
      <c r="G40" s="8" t="s">
        <v>14</v>
      </c>
      <c r="H40" s="15" t="s">
        <v>884</v>
      </c>
      <c r="I40" s="13"/>
      <c r="J40" s="14"/>
    </row>
    <row r="41" spans="1:10" ht="15" customHeight="1" x14ac:dyDescent="0.25">
      <c r="A41" s="6" t="s">
        <v>160</v>
      </c>
      <c r="B41" s="8">
        <v>3</v>
      </c>
      <c r="C41" s="8">
        <v>3</v>
      </c>
      <c r="D41" s="7" t="s">
        <v>161</v>
      </c>
      <c r="E41" s="7" t="s">
        <v>162</v>
      </c>
      <c r="F41" s="7" t="s">
        <v>163</v>
      </c>
      <c r="G41" s="8" t="s">
        <v>14</v>
      </c>
      <c r="H41" s="15" t="s">
        <v>884</v>
      </c>
      <c r="I41" s="13"/>
      <c r="J41" s="14"/>
    </row>
    <row r="42" spans="1:10" ht="15" customHeight="1" x14ac:dyDescent="0.25">
      <c r="A42" s="6" t="s">
        <v>164</v>
      </c>
      <c r="B42" s="8">
        <v>3</v>
      </c>
      <c r="C42" s="8">
        <v>4</v>
      </c>
      <c r="D42" s="7" t="s">
        <v>165</v>
      </c>
      <c r="E42" s="7" t="s">
        <v>166</v>
      </c>
      <c r="F42" s="7" t="s">
        <v>167</v>
      </c>
      <c r="G42" s="8" t="s">
        <v>14</v>
      </c>
      <c r="H42" s="15" t="s">
        <v>884</v>
      </c>
      <c r="I42" s="13"/>
      <c r="J42" s="14"/>
    </row>
    <row r="43" spans="1:10" ht="23.85" customHeight="1" x14ac:dyDescent="0.25">
      <c r="A43" s="6" t="s">
        <v>168</v>
      </c>
      <c r="B43" s="8">
        <v>3</v>
      </c>
      <c r="C43" s="8">
        <v>5</v>
      </c>
      <c r="D43" s="7" t="s">
        <v>169</v>
      </c>
      <c r="E43" s="7" t="s">
        <v>170</v>
      </c>
      <c r="F43" s="7" t="s">
        <v>171</v>
      </c>
      <c r="G43" s="8" t="s">
        <v>20</v>
      </c>
      <c r="H43" s="15" t="s">
        <v>884</v>
      </c>
      <c r="I43" s="13"/>
      <c r="J43" s="14"/>
    </row>
    <row r="44" spans="1:10" ht="35.1" customHeight="1" x14ac:dyDescent="0.25">
      <c r="A44" s="6" t="s">
        <v>172</v>
      </c>
      <c r="B44" s="8">
        <v>3</v>
      </c>
      <c r="C44" s="8">
        <v>6</v>
      </c>
      <c r="D44" s="7" t="s">
        <v>173</v>
      </c>
      <c r="E44" s="7" t="s">
        <v>174</v>
      </c>
      <c r="F44" s="7" t="s">
        <v>175</v>
      </c>
      <c r="G44" s="8" t="s">
        <v>20</v>
      </c>
      <c r="H44" s="15" t="s">
        <v>884</v>
      </c>
      <c r="I44" s="13"/>
      <c r="J44" s="14"/>
    </row>
    <row r="45" spans="1:10" ht="23.85" customHeight="1" x14ac:dyDescent="0.25">
      <c r="A45" s="6" t="s">
        <v>176</v>
      </c>
      <c r="B45" s="8">
        <v>3</v>
      </c>
      <c r="C45" s="8">
        <v>7</v>
      </c>
      <c r="D45" s="7" t="s">
        <v>177</v>
      </c>
      <c r="E45" s="7" t="s">
        <v>178</v>
      </c>
      <c r="F45" s="7" t="s">
        <v>179</v>
      </c>
      <c r="G45" s="8" t="s">
        <v>14</v>
      </c>
      <c r="H45" s="15" t="s">
        <v>884</v>
      </c>
      <c r="I45" s="13"/>
      <c r="J45" s="14"/>
    </row>
    <row r="46" spans="1:10" ht="35.1" customHeight="1" x14ac:dyDescent="0.25">
      <c r="A46" s="6" t="s">
        <v>180</v>
      </c>
      <c r="B46" s="8">
        <v>3</v>
      </c>
      <c r="C46" s="8">
        <v>8</v>
      </c>
      <c r="D46" s="7" t="s">
        <v>181</v>
      </c>
      <c r="E46" s="7" t="s">
        <v>182</v>
      </c>
      <c r="F46" s="7" t="s">
        <v>183</v>
      </c>
      <c r="G46" s="8" t="s">
        <v>14</v>
      </c>
      <c r="H46" s="15" t="s">
        <v>884</v>
      </c>
      <c r="I46" s="13"/>
      <c r="J46" s="14"/>
    </row>
    <row r="47" spans="1:10" ht="15" customHeight="1" x14ac:dyDescent="0.25">
      <c r="A47" s="6" t="s">
        <v>184</v>
      </c>
      <c r="B47" s="8">
        <v>3</v>
      </c>
      <c r="C47" s="8">
        <v>9</v>
      </c>
      <c r="D47" s="7" t="s">
        <v>185</v>
      </c>
      <c r="E47" s="7" t="s">
        <v>186</v>
      </c>
      <c r="F47" s="7" t="s">
        <v>187</v>
      </c>
      <c r="G47" s="8" t="s">
        <v>14</v>
      </c>
      <c r="H47" s="15" t="s">
        <v>884</v>
      </c>
      <c r="I47" s="13"/>
      <c r="J47" s="14"/>
    </row>
    <row r="48" spans="1:10" ht="23.85" customHeight="1" x14ac:dyDescent="0.25">
      <c r="A48" s="6" t="s">
        <v>188</v>
      </c>
      <c r="B48" s="8">
        <v>3</v>
      </c>
      <c r="C48" s="8">
        <v>10</v>
      </c>
      <c r="D48" s="7" t="s">
        <v>189</v>
      </c>
      <c r="E48" s="7" t="s">
        <v>190</v>
      </c>
      <c r="F48" s="7" t="s">
        <v>79</v>
      </c>
      <c r="G48" s="8" t="s">
        <v>20</v>
      </c>
      <c r="H48" s="15" t="s">
        <v>884</v>
      </c>
      <c r="I48" s="13"/>
      <c r="J48" s="14"/>
    </row>
    <row r="49" spans="1:10" ht="23.85" customHeight="1" x14ac:dyDescent="0.25">
      <c r="A49" s="6" t="s">
        <v>191</v>
      </c>
      <c r="B49" s="8">
        <v>3</v>
      </c>
      <c r="C49" s="8">
        <v>11</v>
      </c>
      <c r="D49" s="7" t="s">
        <v>192</v>
      </c>
      <c r="E49" s="7" t="s">
        <v>193</v>
      </c>
      <c r="F49" s="7" t="s">
        <v>194</v>
      </c>
      <c r="G49" s="8" t="s">
        <v>14</v>
      </c>
      <c r="H49" s="15" t="s">
        <v>884</v>
      </c>
      <c r="I49" s="13"/>
      <c r="J49" s="14"/>
    </row>
    <row r="50" spans="1:10" ht="23.85" customHeight="1" x14ac:dyDescent="0.25">
      <c r="A50" s="6" t="s">
        <v>195</v>
      </c>
      <c r="B50" s="8">
        <v>4</v>
      </c>
      <c r="C50" s="8">
        <v>1</v>
      </c>
      <c r="D50" s="7" t="s">
        <v>196</v>
      </c>
      <c r="E50" s="7" t="s">
        <v>197</v>
      </c>
      <c r="F50" s="7" t="s">
        <v>198</v>
      </c>
      <c r="G50" s="8" t="s">
        <v>14</v>
      </c>
      <c r="H50" s="15" t="s">
        <v>884</v>
      </c>
      <c r="I50" s="13"/>
      <c r="J50" s="14"/>
    </row>
    <row r="51" spans="1:10" ht="23.85" customHeight="1" x14ac:dyDescent="0.25">
      <c r="A51" s="6" t="s">
        <v>199</v>
      </c>
      <c r="B51" s="8">
        <v>4</v>
      </c>
      <c r="C51" s="8">
        <v>2</v>
      </c>
      <c r="D51" s="7" t="s">
        <v>200</v>
      </c>
      <c r="E51" s="7" t="s">
        <v>201</v>
      </c>
      <c r="F51" s="7" t="s">
        <v>202</v>
      </c>
      <c r="G51" s="8" t="s">
        <v>14</v>
      </c>
      <c r="H51" s="15" t="s">
        <v>884</v>
      </c>
      <c r="I51" s="13"/>
      <c r="J51" s="14"/>
    </row>
    <row r="52" spans="1:10" ht="23.85" customHeight="1" x14ac:dyDescent="0.25">
      <c r="A52" s="6" t="s">
        <v>203</v>
      </c>
      <c r="B52" s="8">
        <v>4</v>
      </c>
      <c r="C52" s="8">
        <v>3</v>
      </c>
      <c r="D52" s="7" t="s">
        <v>204</v>
      </c>
      <c r="E52" s="7" t="s">
        <v>205</v>
      </c>
      <c r="F52" s="7" t="s">
        <v>206</v>
      </c>
      <c r="G52" s="8" t="s">
        <v>14</v>
      </c>
      <c r="H52" s="15" t="s">
        <v>884</v>
      </c>
      <c r="I52" s="13"/>
      <c r="J52" s="14"/>
    </row>
    <row r="53" spans="1:10" ht="15" customHeight="1" x14ac:dyDescent="0.25">
      <c r="A53" s="6" t="s">
        <v>207</v>
      </c>
      <c r="B53" s="8">
        <v>4</v>
      </c>
      <c r="C53" s="8">
        <v>4</v>
      </c>
      <c r="D53" s="7" t="s">
        <v>208</v>
      </c>
      <c r="E53" s="7" t="s">
        <v>209</v>
      </c>
      <c r="F53" s="7" t="s">
        <v>210</v>
      </c>
      <c r="G53" s="8" t="s">
        <v>14</v>
      </c>
      <c r="H53" s="15" t="s">
        <v>884</v>
      </c>
      <c r="I53" s="13"/>
      <c r="J53" s="14"/>
    </row>
    <row r="54" spans="1:10" ht="23.85" customHeight="1" x14ac:dyDescent="0.25">
      <c r="A54" s="6" t="s">
        <v>211</v>
      </c>
      <c r="B54" s="8">
        <v>4</v>
      </c>
      <c r="C54" s="8">
        <v>5</v>
      </c>
      <c r="D54" s="7" t="s">
        <v>212</v>
      </c>
      <c r="E54" s="7" t="s">
        <v>213</v>
      </c>
      <c r="F54" s="7" t="s">
        <v>214</v>
      </c>
      <c r="G54" s="8" t="s">
        <v>14</v>
      </c>
      <c r="H54" s="15" t="s">
        <v>884</v>
      </c>
      <c r="I54" s="13"/>
      <c r="J54" s="14"/>
    </row>
    <row r="55" spans="1:10" ht="15" customHeight="1" x14ac:dyDescent="0.25">
      <c r="A55" s="6" t="s">
        <v>215</v>
      </c>
      <c r="B55" s="8">
        <v>4</v>
      </c>
      <c r="C55" s="8">
        <v>6</v>
      </c>
      <c r="D55" s="7" t="s">
        <v>216</v>
      </c>
      <c r="E55" s="7" t="s">
        <v>217</v>
      </c>
      <c r="F55" s="7" t="s">
        <v>218</v>
      </c>
      <c r="G55" s="8" t="s">
        <v>20</v>
      </c>
      <c r="H55" s="15" t="s">
        <v>884</v>
      </c>
      <c r="I55" s="13"/>
      <c r="J55" s="14"/>
    </row>
    <row r="56" spans="1:10" ht="23.85" customHeight="1" x14ac:dyDescent="0.25">
      <c r="A56" s="6" t="s">
        <v>219</v>
      </c>
      <c r="B56" s="8">
        <v>4</v>
      </c>
      <c r="C56" s="8">
        <v>7</v>
      </c>
      <c r="D56" s="7" t="s">
        <v>220</v>
      </c>
      <c r="E56" s="7" t="s">
        <v>221</v>
      </c>
      <c r="F56" s="7" t="s">
        <v>222</v>
      </c>
      <c r="G56" s="8" t="s">
        <v>14</v>
      </c>
      <c r="H56" s="15" t="s">
        <v>884</v>
      </c>
      <c r="I56" s="13"/>
      <c r="J56" s="14"/>
    </row>
    <row r="57" spans="1:10" ht="23.85" customHeight="1" x14ac:dyDescent="0.25">
      <c r="A57" s="6" t="s">
        <v>223</v>
      </c>
      <c r="B57" s="8">
        <v>4</v>
      </c>
      <c r="C57" s="8">
        <v>8</v>
      </c>
      <c r="D57" s="7" t="s">
        <v>224</v>
      </c>
      <c r="E57" s="7" t="s">
        <v>225</v>
      </c>
      <c r="F57" s="7" t="s">
        <v>226</v>
      </c>
      <c r="G57" s="8" t="s">
        <v>14</v>
      </c>
      <c r="H57" s="15" t="s">
        <v>884</v>
      </c>
      <c r="I57" s="13"/>
      <c r="J57" s="14"/>
    </row>
    <row r="58" spans="1:10" ht="15" customHeight="1" x14ac:dyDescent="0.25">
      <c r="A58" s="6" t="s">
        <v>227</v>
      </c>
      <c r="B58" s="8">
        <v>4</v>
      </c>
      <c r="C58" s="8">
        <v>9</v>
      </c>
      <c r="D58" s="7" t="s">
        <v>228</v>
      </c>
      <c r="E58" s="7" t="s">
        <v>229</v>
      </c>
      <c r="F58" s="7" t="s">
        <v>230</v>
      </c>
      <c r="G58" s="8" t="s">
        <v>14</v>
      </c>
      <c r="H58" s="15" t="s">
        <v>884</v>
      </c>
      <c r="I58" s="13"/>
      <c r="J58" s="14"/>
    </row>
    <row r="59" spans="1:10" ht="23.85" customHeight="1" x14ac:dyDescent="0.25">
      <c r="A59" s="6" t="s">
        <v>231</v>
      </c>
      <c r="B59" s="8">
        <v>4</v>
      </c>
      <c r="C59" s="8">
        <v>10</v>
      </c>
      <c r="D59" s="7" t="s">
        <v>232</v>
      </c>
      <c r="E59" s="7" t="s">
        <v>233</v>
      </c>
      <c r="F59" s="7" t="s">
        <v>234</v>
      </c>
      <c r="G59" s="8" t="s">
        <v>20</v>
      </c>
      <c r="H59" s="12" t="s">
        <v>15</v>
      </c>
      <c r="I59" s="13"/>
      <c r="J59" s="14"/>
    </row>
    <row r="60" spans="1:10" ht="23.85" customHeight="1" x14ac:dyDescent="0.25">
      <c r="A60" s="6" t="s">
        <v>235</v>
      </c>
      <c r="B60" s="8">
        <v>4</v>
      </c>
      <c r="C60" s="8">
        <v>11</v>
      </c>
      <c r="D60" s="7" t="s">
        <v>236</v>
      </c>
      <c r="E60" s="7" t="s">
        <v>237</v>
      </c>
      <c r="F60" s="7" t="s">
        <v>238</v>
      </c>
      <c r="G60" s="8" t="s">
        <v>20</v>
      </c>
      <c r="H60" s="15" t="s">
        <v>884</v>
      </c>
      <c r="I60" s="13"/>
      <c r="J60" s="14" t="s">
        <v>239</v>
      </c>
    </row>
    <row r="61" spans="1:10" ht="23.85" customHeight="1" x14ac:dyDescent="0.25">
      <c r="A61" s="6" t="s">
        <v>240</v>
      </c>
      <c r="B61" s="8">
        <v>4</v>
      </c>
      <c r="C61" s="8">
        <v>12</v>
      </c>
      <c r="D61" s="7" t="s">
        <v>241</v>
      </c>
      <c r="E61" s="7" t="s">
        <v>242</v>
      </c>
      <c r="F61" s="7" t="s">
        <v>243</v>
      </c>
      <c r="G61" s="8" t="s">
        <v>20</v>
      </c>
      <c r="H61" s="12" t="s">
        <v>15</v>
      </c>
      <c r="I61" s="13"/>
      <c r="J61" s="14" t="s">
        <v>244</v>
      </c>
    </row>
    <row r="62" spans="1:10" ht="23.85" customHeight="1" x14ac:dyDescent="0.25">
      <c r="A62" s="6" t="s">
        <v>245</v>
      </c>
      <c r="B62" s="8">
        <v>5</v>
      </c>
      <c r="C62" s="8">
        <v>1</v>
      </c>
      <c r="D62" s="7" t="s">
        <v>246</v>
      </c>
      <c r="E62" s="7" t="s">
        <v>247</v>
      </c>
      <c r="F62" s="7" t="s">
        <v>248</v>
      </c>
      <c r="G62" s="8" t="s">
        <v>14</v>
      </c>
      <c r="H62" s="12" t="s">
        <v>15</v>
      </c>
      <c r="I62" s="13"/>
      <c r="J62" s="14"/>
    </row>
    <row r="63" spans="1:10" ht="23.85" customHeight="1" x14ac:dyDescent="0.25">
      <c r="A63" s="6" t="s">
        <v>249</v>
      </c>
      <c r="B63" s="8">
        <v>5</v>
      </c>
      <c r="C63" s="8">
        <v>2</v>
      </c>
      <c r="D63" s="7" t="s">
        <v>250</v>
      </c>
      <c r="E63" s="7" t="s">
        <v>251</v>
      </c>
      <c r="F63" s="7" t="s">
        <v>252</v>
      </c>
      <c r="G63" s="8" t="s">
        <v>14</v>
      </c>
      <c r="H63" s="12" t="s">
        <v>15</v>
      </c>
      <c r="I63" s="13"/>
      <c r="J63" s="14"/>
    </row>
    <row r="64" spans="1:10" ht="35.1" customHeight="1" x14ac:dyDescent="0.25">
      <c r="A64" s="6" t="s">
        <v>253</v>
      </c>
      <c r="B64" s="8">
        <v>5</v>
      </c>
      <c r="C64" s="8">
        <v>3</v>
      </c>
      <c r="D64" s="7" t="s">
        <v>254</v>
      </c>
      <c r="E64" s="7" t="s">
        <v>255</v>
      </c>
      <c r="F64" s="7" t="s">
        <v>256</v>
      </c>
      <c r="G64" s="8" t="s">
        <v>20</v>
      </c>
      <c r="H64" s="12" t="s">
        <v>15</v>
      </c>
      <c r="I64" s="13"/>
      <c r="J64" s="14"/>
    </row>
    <row r="65" spans="1:10" ht="23.85" customHeight="1" x14ac:dyDescent="0.25">
      <c r="A65" s="6" t="s">
        <v>257</v>
      </c>
      <c r="B65" s="8">
        <v>5</v>
      </c>
      <c r="C65" s="8">
        <v>4</v>
      </c>
      <c r="D65" s="7" t="s">
        <v>258</v>
      </c>
      <c r="E65" s="7" t="s">
        <v>259</v>
      </c>
      <c r="F65" s="7" t="s">
        <v>260</v>
      </c>
      <c r="G65" s="8" t="s">
        <v>20</v>
      </c>
      <c r="H65" s="12" t="s">
        <v>15</v>
      </c>
      <c r="I65" s="13"/>
      <c r="J65" s="14"/>
    </row>
    <row r="66" spans="1:10" ht="15" customHeight="1" x14ac:dyDescent="0.25">
      <c r="A66" s="6" t="s">
        <v>261</v>
      </c>
      <c r="B66" s="8">
        <v>5</v>
      </c>
      <c r="C66" s="8">
        <v>5</v>
      </c>
      <c r="D66" s="7" t="s">
        <v>262</v>
      </c>
      <c r="E66" s="7" t="s">
        <v>263</v>
      </c>
      <c r="F66" s="7" t="s">
        <v>264</v>
      </c>
      <c r="G66" s="8" t="s">
        <v>20</v>
      </c>
      <c r="H66" s="12" t="s">
        <v>15</v>
      </c>
      <c r="I66" s="13"/>
      <c r="J66" s="14"/>
    </row>
    <row r="67" spans="1:10" ht="23.85" customHeight="1" x14ac:dyDescent="0.25">
      <c r="A67" s="6" t="s">
        <v>265</v>
      </c>
      <c r="B67" s="8">
        <v>5</v>
      </c>
      <c r="C67" s="8">
        <v>6</v>
      </c>
      <c r="D67" s="7" t="s">
        <v>266</v>
      </c>
      <c r="E67" s="7" t="s">
        <v>267</v>
      </c>
      <c r="F67" s="7" t="s">
        <v>268</v>
      </c>
      <c r="G67" s="8" t="s">
        <v>14</v>
      </c>
      <c r="H67" s="12" t="s">
        <v>15</v>
      </c>
      <c r="I67" s="13"/>
      <c r="J67" s="14"/>
    </row>
    <row r="68" spans="1:10" ht="15" customHeight="1" x14ac:dyDescent="0.25">
      <c r="A68" s="6" t="s">
        <v>269</v>
      </c>
      <c r="B68" s="8">
        <v>5</v>
      </c>
      <c r="C68" s="8">
        <v>7</v>
      </c>
      <c r="D68" s="7" t="s">
        <v>270</v>
      </c>
      <c r="E68" s="7" t="s">
        <v>271</v>
      </c>
      <c r="F68" s="7" t="s">
        <v>272</v>
      </c>
      <c r="G68" s="8" t="s">
        <v>14</v>
      </c>
      <c r="H68" s="12" t="s">
        <v>15</v>
      </c>
      <c r="I68" s="13"/>
      <c r="J68" s="14"/>
    </row>
    <row r="69" spans="1:10" ht="23.85" customHeight="1" x14ac:dyDescent="0.25">
      <c r="A69" s="6" t="s">
        <v>273</v>
      </c>
      <c r="B69" s="8">
        <v>5</v>
      </c>
      <c r="C69" s="8">
        <v>8</v>
      </c>
      <c r="D69" s="7" t="s">
        <v>274</v>
      </c>
      <c r="E69" s="7" t="s">
        <v>275</v>
      </c>
      <c r="F69" s="7" t="s">
        <v>276</v>
      </c>
      <c r="G69" s="8" t="s">
        <v>20</v>
      </c>
      <c r="H69" s="12" t="s">
        <v>15</v>
      </c>
      <c r="I69" s="13"/>
      <c r="J69" s="14"/>
    </row>
    <row r="70" spans="1:10" ht="15" customHeight="1" x14ac:dyDescent="0.25">
      <c r="A70" s="6" t="s">
        <v>277</v>
      </c>
      <c r="B70" s="8">
        <v>5</v>
      </c>
      <c r="C70" s="8">
        <v>9</v>
      </c>
      <c r="D70" s="7" t="s">
        <v>278</v>
      </c>
      <c r="E70" s="7" t="s">
        <v>279</v>
      </c>
      <c r="F70" s="7" t="s">
        <v>280</v>
      </c>
      <c r="G70" s="8" t="s">
        <v>14</v>
      </c>
      <c r="H70" s="12" t="s">
        <v>15</v>
      </c>
      <c r="I70" s="13"/>
      <c r="J70" s="14"/>
    </row>
    <row r="71" spans="1:10" ht="15" customHeight="1" x14ac:dyDescent="0.25">
      <c r="A71" s="6" t="s">
        <v>281</v>
      </c>
      <c r="B71" s="8">
        <v>6</v>
      </c>
      <c r="C71" s="8">
        <v>1</v>
      </c>
      <c r="D71" s="7" t="s">
        <v>282</v>
      </c>
      <c r="E71" s="7" t="s">
        <v>283</v>
      </c>
      <c r="F71" s="7" t="s">
        <v>284</v>
      </c>
      <c r="G71" s="8" t="s">
        <v>14</v>
      </c>
      <c r="H71" s="12" t="s">
        <v>15</v>
      </c>
      <c r="I71" s="13"/>
      <c r="J71" s="14"/>
    </row>
    <row r="72" spans="1:10" ht="15" customHeight="1" x14ac:dyDescent="0.25">
      <c r="A72" s="6" t="s">
        <v>285</v>
      </c>
      <c r="B72" s="8">
        <v>6</v>
      </c>
      <c r="C72" s="8">
        <v>2</v>
      </c>
      <c r="D72" s="7" t="s">
        <v>286</v>
      </c>
      <c r="E72" s="7" t="s">
        <v>287</v>
      </c>
      <c r="F72" s="7" t="s">
        <v>288</v>
      </c>
      <c r="G72" s="8" t="s">
        <v>14</v>
      </c>
      <c r="H72" s="12" t="s">
        <v>15</v>
      </c>
      <c r="I72" s="13"/>
      <c r="J72" s="14"/>
    </row>
    <row r="73" spans="1:10" ht="23.85" customHeight="1" x14ac:dyDescent="0.25">
      <c r="A73" s="6" t="s">
        <v>289</v>
      </c>
      <c r="B73" s="8">
        <v>6</v>
      </c>
      <c r="C73" s="8">
        <v>3</v>
      </c>
      <c r="D73" s="7" t="s">
        <v>290</v>
      </c>
      <c r="E73" s="7" t="s">
        <v>291</v>
      </c>
      <c r="F73" s="7" t="s">
        <v>292</v>
      </c>
      <c r="G73" s="8" t="s">
        <v>20</v>
      </c>
      <c r="H73" s="12" t="s">
        <v>15</v>
      </c>
      <c r="I73" s="13"/>
      <c r="J73" s="14"/>
    </row>
    <row r="74" spans="1:10" ht="23.85" customHeight="1" x14ac:dyDescent="0.25">
      <c r="A74" s="6" t="s">
        <v>293</v>
      </c>
      <c r="B74" s="8">
        <v>6</v>
      </c>
      <c r="C74" s="8">
        <v>4</v>
      </c>
      <c r="D74" s="7" t="s">
        <v>294</v>
      </c>
      <c r="E74" s="7" t="s">
        <v>295</v>
      </c>
      <c r="F74" s="7" t="s">
        <v>296</v>
      </c>
      <c r="G74" s="8" t="s">
        <v>14</v>
      </c>
      <c r="H74" s="12" t="s">
        <v>15</v>
      </c>
      <c r="I74" s="13"/>
      <c r="J74" s="14"/>
    </row>
    <row r="75" spans="1:10" ht="15" customHeight="1" x14ac:dyDescent="0.25">
      <c r="A75" s="6" t="s">
        <v>297</v>
      </c>
      <c r="B75" s="8">
        <v>6</v>
      </c>
      <c r="C75" s="8">
        <v>5</v>
      </c>
      <c r="D75" s="7" t="s">
        <v>298</v>
      </c>
      <c r="E75" s="7" t="s">
        <v>299</v>
      </c>
      <c r="F75" s="7" t="s">
        <v>300</v>
      </c>
      <c r="G75" s="8" t="s">
        <v>14</v>
      </c>
      <c r="H75" s="12" t="s">
        <v>15</v>
      </c>
      <c r="I75" s="13"/>
      <c r="J75" s="14"/>
    </row>
    <row r="76" spans="1:10" ht="23.85" customHeight="1" x14ac:dyDescent="0.25">
      <c r="A76" s="6" t="s">
        <v>301</v>
      </c>
      <c r="B76" s="8">
        <v>6</v>
      </c>
      <c r="C76" s="8">
        <v>6</v>
      </c>
      <c r="D76" s="7" t="s">
        <v>302</v>
      </c>
      <c r="E76" s="7" t="s">
        <v>303</v>
      </c>
      <c r="F76" s="7" t="s">
        <v>304</v>
      </c>
      <c r="G76" s="8" t="s">
        <v>20</v>
      </c>
      <c r="H76" s="12" t="s">
        <v>15</v>
      </c>
      <c r="I76" s="13"/>
      <c r="J76" s="14"/>
    </row>
    <row r="77" spans="1:10" ht="23.85" customHeight="1" x14ac:dyDescent="0.25">
      <c r="A77" s="6" t="s">
        <v>305</v>
      </c>
      <c r="B77" s="8">
        <v>6</v>
      </c>
      <c r="C77" s="8">
        <v>7</v>
      </c>
      <c r="D77" s="7" t="s">
        <v>306</v>
      </c>
      <c r="E77" s="7" t="s">
        <v>307</v>
      </c>
      <c r="F77" s="7" t="s">
        <v>308</v>
      </c>
      <c r="G77" s="8" t="s">
        <v>14</v>
      </c>
      <c r="H77" s="12" t="s">
        <v>15</v>
      </c>
      <c r="I77" s="13"/>
      <c r="J77" s="14"/>
    </row>
    <row r="78" spans="1:10" ht="23.85" customHeight="1" x14ac:dyDescent="0.25">
      <c r="A78" s="6" t="s">
        <v>309</v>
      </c>
      <c r="B78" s="8">
        <v>6</v>
      </c>
      <c r="C78" s="8">
        <v>8</v>
      </c>
      <c r="D78" s="7" t="s">
        <v>310</v>
      </c>
      <c r="E78" s="7" t="s">
        <v>311</v>
      </c>
      <c r="F78" s="7" t="s">
        <v>312</v>
      </c>
      <c r="G78" s="8" t="s">
        <v>20</v>
      </c>
      <c r="H78" s="12" t="s">
        <v>15</v>
      </c>
      <c r="I78" s="13"/>
      <c r="J78" s="14"/>
    </row>
    <row r="79" spans="1:10" ht="23.85" customHeight="1" x14ac:dyDescent="0.25">
      <c r="A79" s="6" t="s">
        <v>313</v>
      </c>
      <c r="B79" s="8">
        <v>6</v>
      </c>
      <c r="C79" s="8">
        <v>9</v>
      </c>
      <c r="D79" s="7" t="s">
        <v>314</v>
      </c>
      <c r="E79" s="7" t="s">
        <v>315</v>
      </c>
      <c r="F79" s="7" t="s">
        <v>316</v>
      </c>
      <c r="G79" s="8" t="s">
        <v>20</v>
      </c>
      <c r="H79" s="12" t="s">
        <v>15</v>
      </c>
      <c r="I79" s="13"/>
      <c r="J79" s="14"/>
    </row>
    <row r="80" spans="1:10" ht="23.85" customHeight="1" x14ac:dyDescent="0.25">
      <c r="A80" s="6" t="s">
        <v>317</v>
      </c>
      <c r="B80" s="8">
        <v>6</v>
      </c>
      <c r="C80" s="8">
        <v>10</v>
      </c>
      <c r="D80" s="7" t="s">
        <v>318</v>
      </c>
      <c r="E80" s="7" t="s">
        <v>319</v>
      </c>
      <c r="F80" s="7" t="s">
        <v>320</v>
      </c>
      <c r="G80" s="8" t="s">
        <v>14</v>
      </c>
      <c r="H80" s="12" t="s">
        <v>15</v>
      </c>
      <c r="I80" s="13"/>
      <c r="J80" s="14"/>
    </row>
    <row r="81" spans="1:10" ht="23.85" customHeight="1" x14ac:dyDescent="0.25">
      <c r="A81" s="6" t="s">
        <v>321</v>
      </c>
      <c r="B81" s="8">
        <v>7</v>
      </c>
      <c r="C81" s="8">
        <v>1</v>
      </c>
      <c r="D81" s="7" t="s">
        <v>322</v>
      </c>
      <c r="E81" s="7" t="s">
        <v>323</v>
      </c>
      <c r="F81" s="7" t="s">
        <v>46</v>
      </c>
      <c r="G81" s="8" t="s">
        <v>20</v>
      </c>
      <c r="H81" s="12" t="s">
        <v>15</v>
      </c>
      <c r="I81" s="13"/>
      <c r="J81" s="14"/>
    </row>
    <row r="82" spans="1:10" ht="15" customHeight="1" x14ac:dyDescent="0.25">
      <c r="A82" s="6" t="s">
        <v>324</v>
      </c>
      <c r="B82" s="8">
        <v>7</v>
      </c>
      <c r="C82" s="8">
        <v>2</v>
      </c>
      <c r="D82" s="7" t="s">
        <v>325</v>
      </c>
      <c r="E82" s="7" t="s">
        <v>326</v>
      </c>
      <c r="F82" s="7" t="s">
        <v>28</v>
      </c>
      <c r="G82" s="8" t="s">
        <v>14</v>
      </c>
      <c r="H82" s="12" t="s">
        <v>15</v>
      </c>
      <c r="I82" s="13"/>
      <c r="J82" s="14"/>
    </row>
    <row r="83" spans="1:10" ht="15" customHeight="1" x14ac:dyDescent="0.25">
      <c r="A83" s="6" t="s">
        <v>327</v>
      </c>
      <c r="B83" s="8">
        <v>7</v>
      </c>
      <c r="C83" s="8">
        <v>3</v>
      </c>
      <c r="D83" s="7" t="s">
        <v>328</v>
      </c>
      <c r="E83" s="7" t="s">
        <v>329</v>
      </c>
      <c r="F83" s="7" t="s">
        <v>330</v>
      </c>
      <c r="G83" s="8" t="s">
        <v>20</v>
      </c>
      <c r="H83" s="12" t="s">
        <v>15</v>
      </c>
      <c r="I83" s="13"/>
      <c r="J83" s="14"/>
    </row>
    <row r="84" spans="1:10" ht="23.85" customHeight="1" x14ac:dyDescent="0.25">
      <c r="A84" s="6" t="s">
        <v>331</v>
      </c>
      <c r="B84" s="8">
        <v>7</v>
      </c>
      <c r="C84" s="8">
        <v>4</v>
      </c>
      <c r="D84" s="7" t="s">
        <v>332</v>
      </c>
      <c r="E84" s="7" t="s">
        <v>333</v>
      </c>
      <c r="F84" s="7" t="s">
        <v>334</v>
      </c>
      <c r="G84" s="8" t="s">
        <v>20</v>
      </c>
      <c r="H84" s="12" t="s">
        <v>15</v>
      </c>
      <c r="I84" s="13"/>
      <c r="J84" s="14"/>
    </row>
    <row r="85" spans="1:10" ht="15" customHeight="1" x14ac:dyDescent="0.25">
      <c r="A85" s="6" t="s">
        <v>335</v>
      </c>
      <c r="B85" s="8">
        <v>7</v>
      </c>
      <c r="C85" s="8">
        <v>5</v>
      </c>
      <c r="D85" s="7" t="s">
        <v>336</v>
      </c>
      <c r="E85" s="7" t="s">
        <v>337</v>
      </c>
      <c r="F85" s="7" t="s">
        <v>334</v>
      </c>
      <c r="G85" s="8" t="s">
        <v>20</v>
      </c>
      <c r="H85" s="12" t="s">
        <v>15</v>
      </c>
      <c r="I85" s="13"/>
      <c r="J85" s="14"/>
    </row>
    <row r="86" spans="1:10" ht="15" customHeight="1" x14ac:dyDescent="0.25">
      <c r="A86" s="6" t="s">
        <v>338</v>
      </c>
      <c r="B86" s="8">
        <v>7</v>
      </c>
      <c r="C86" s="8">
        <v>6</v>
      </c>
      <c r="D86" s="7" t="s">
        <v>339</v>
      </c>
      <c r="E86" s="7" t="s">
        <v>340</v>
      </c>
      <c r="F86" s="7" t="s">
        <v>341</v>
      </c>
      <c r="G86" s="8" t="s">
        <v>20</v>
      </c>
      <c r="H86" s="12" t="s">
        <v>15</v>
      </c>
      <c r="I86" s="13"/>
      <c r="J86" s="14"/>
    </row>
    <row r="87" spans="1:10" ht="15" customHeight="1" x14ac:dyDescent="0.25">
      <c r="A87" s="6" t="s">
        <v>342</v>
      </c>
      <c r="B87" s="8">
        <v>7</v>
      </c>
      <c r="C87" s="8">
        <v>7</v>
      </c>
      <c r="D87" s="7" t="s">
        <v>343</v>
      </c>
      <c r="E87" s="7" t="s">
        <v>344</v>
      </c>
      <c r="F87" s="7" t="s">
        <v>345</v>
      </c>
      <c r="G87" s="8" t="s">
        <v>14</v>
      </c>
      <c r="H87" s="12" t="s">
        <v>15</v>
      </c>
      <c r="I87" s="13"/>
      <c r="J87" s="14"/>
    </row>
    <row r="88" spans="1:10" ht="23.85" customHeight="1" x14ac:dyDescent="0.25">
      <c r="A88" s="6" t="s">
        <v>346</v>
      </c>
      <c r="B88" s="8">
        <v>7</v>
      </c>
      <c r="C88" s="8">
        <v>8</v>
      </c>
      <c r="D88" s="7" t="s">
        <v>347</v>
      </c>
      <c r="E88" s="7" t="s">
        <v>348</v>
      </c>
      <c r="F88" s="7" t="s">
        <v>99</v>
      </c>
      <c r="G88" s="8" t="s">
        <v>14</v>
      </c>
      <c r="H88" s="12" t="s">
        <v>15</v>
      </c>
      <c r="I88" s="13"/>
      <c r="J88" s="14"/>
    </row>
    <row r="89" spans="1:10" ht="25.5" customHeight="1" x14ac:dyDescent="0.25">
      <c r="A89" s="6" t="s">
        <v>349</v>
      </c>
      <c r="B89" s="8">
        <v>7</v>
      </c>
      <c r="C89" s="8">
        <v>9</v>
      </c>
      <c r="D89" s="7" t="s">
        <v>350</v>
      </c>
      <c r="E89" s="7" t="s">
        <v>351</v>
      </c>
      <c r="F89" s="7" t="s">
        <v>352</v>
      </c>
      <c r="G89" s="8" t="s">
        <v>14</v>
      </c>
      <c r="H89" s="12" t="s">
        <v>15</v>
      </c>
      <c r="I89" s="13"/>
      <c r="J89" s="14"/>
    </row>
    <row r="90" spans="1:10" ht="25.5" x14ac:dyDescent="0.25">
      <c r="A90" s="6" t="s">
        <v>353</v>
      </c>
      <c r="B90" s="8">
        <v>7</v>
      </c>
      <c r="C90" s="8">
        <v>10</v>
      </c>
      <c r="D90" s="7" t="s">
        <v>354</v>
      </c>
      <c r="E90" s="7" t="s">
        <v>355</v>
      </c>
      <c r="F90" s="7" t="s">
        <v>356</v>
      </c>
      <c r="G90" s="8" t="s">
        <v>20</v>
      </c>
      <c r="H90" s="12" t="s">
        <v>15</v>
      </c>
      <c r="I90" s="13"/>
      <c r="J90" s="14"/>
    </row>
  </sheetData>
  <autoFilter ref="A1:J90" xr:uid="{00000000-0009-0000-0000-000002000000}"/>
  <conditionalFormatting sqref="G2:G90">
    <cfRule type="cellIs" dxfId="5" priority="5" operator="equal">
      <formula>"Yes"</formula>
    </cfRule>
  </conditionalFormatting>
  <conditionalFormatting sqref="H2:H90">
    <cfRule type="cellIs" dxfId="4" priority="2" operator="equal">
      <formula>"Done"</formula>
    </cfRule>
    <cfRule type="cellIs" dxfId="3" priority="3" operator="equal">
      <formula>"In progress"</formula>
    </cfRule>
    <cfRule type="cellIs" dxfId="2" priority="4" operator="equal">
      <formula>"Blocked"</formula>
    </cfRule>
  </conditionalFormatting>
  <dataValidations count="2">
    <dataValidation type="list" error="Choose Not started, In progress, Done or Blocked" sqref="H2:H90" xr:uid="{00000000-0002-0000-0200-000000000000}">
      <formula1>"Not started,In progress,Done,Blocked"</formula1>
      <formula2>0</formula2>
    </dataValidation>
    <dataValidation type="date" operator="greaterThan" allowBlank="1" sqref="I2:I90" xr:uid="{00000000-0002-0000-0200-000001000000}">
      <formula1>DATE(2026,1,1)</formula1>
      <formula2>0</formula2>
    </dataValidation>
  </dataValidation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86"/>
  <sheetViews>
    <sheetView zoomScaleNormal="100" workbookViewId="0">
      <pane ySplit="1" topLeftCell="A2" activePane="bottomLeft" state="frozen"/>
      <selection pane="bottomLeft"/>
    </sheetView>
  </sheetViews>
  <sheetFormatPr defaultColWidth="8.7109375" defaultRowHeight="15" x14ac:dyDescent="0.25"/>
  <cols>
    <col min="1" max="1" width="10" customWidth="1"/>
    <col min="2" max="2" width="7" customWidth="1"/>
    <col min="3" max="3" width="32" customWidth="1"/>
    <col min="4" max="4" width="14" customWidth="1"/>
    <col min="5" max="5" width="40" customWidth="1"/>
    <col min="6" max="6" width="46" customWidth="1"/>
    <col min="7" max="7" width="10" customWidth="1"/>
    <col min="8" max="8" width="11" customWidth="1"/>
    <col min="9" max="9" width="18" customWidth="1"/>
    <col min="10" max="10" width="11" customWidth="1"/>
    <col min="11" max="11" width="12" customWidth="1"/>
    <col min="12" max="12" width="28" customWidth="1"/>
    <col min="13" max="13" width="26" customWidth="1"/>
  </cols>
  <sheetData>
    <row r="1" spans="1:13" ht="31.5" customHeight="1" x14ac:dyDescent="0.25">
      <c r="A1" s="4" t="s">
        <v>417</v>
      </c>
      <c r="B1" s="4" t="s">
        <v>1</v>
      </c>
      <c r="C1" s="4" t="s">
        <v>418</v>
      </c>
      <c r="D1" s="4" t="s">
        <v>419</v>
      </c>
      <c r="E1" s="4" t="s">
        <v>420</v>
      </c>
      <c r="F1" s="4" t="s">
        <v>421</v>
      </c>
      <c r="G1" s="4" t="s">
        <v>422</v>
      </c>
      <c r="H1" s="4" t="s">
        <v>423</v>
      </c>
      <c r="I1" s="4" t="s">
        <v>424</v>
      </c>
      <c r="J1" s="11" t="s">
        <v>425</v>
      </c>
      <c r="K1" s="11" t="s">
        <v>426</v>
      </c>
      <c r="L1" s="11" t="s">
        <v>427</v>
      </c>
      <c r="M1" s="11" t="s">
        <v>428</v>
      </c>
    </row>
    <row r="2" spans="1:13" ht="15" customHeight="1" x14ac:dyDescent="0.25">
      <c r="A2" s="6" t="s">
        <v>429</v>
      </c>
      <c r="B2" s="8">
        <v>0</v>
      </c>
      <c r="C2" s="7" t="s">
        <v>430</v>
      </c>
      <c r="D2" s="7" t="s">
        <v>431</v>
      </c>
      <c r="E2" s="7" t="s">
        <v>432</v>
      </c>
      <c r="F2" s="7" t="s">
        <v>433</v>
      </c>
      <c r="G2" s="8" t="s">
        <v>434</v>
      </c>
      <c r="H2" s="8" t="s">
        <v>20</v>
      </c>
      <c r="I2" s="7" t="s">
        <v>435</v>
      </c>
      <c r="J2" s="12" t="s">
        <v>436</v>
      </c>
      <c r="K2" s="13"/>
      <c r="L2" s="14"/>
      <c r="M2" s="14"/>
    </row>
    <row r="3" spans="1:13" ht="23.85" customHeight="1" x14ac:dyDescent="0.25">
      <c r="A3" s="6" t="s">
        <v>437</v>
      </c>
      <c r="B3" s="8">
        <v>0</v>
      </c>
      <c r="C3" s="7" t="s">
        <v>438</v>
      </c>
      <c r="D3" s="7" t="s">
        <v>439</v>
      </c>
      <c r="E3" s="7" t="s">
        <v>440</v>
      </c>
      <c r="F3" s="7" t="s">
        <v>441</v>
      </c>
      <c r="G3" s="8" t="s">
        <v>434</v>
      </c>
      <c r="H3" s="8" t="s">
        <v>20</v>
      </c>
      <c r="I3" s="7" t="s">
        <v>435</v>
      </c>
      <c r="J3" s="12" t="s">
        <v>436</v>
      </c>
      <c r="K3" s="13"/>
      <c r="L3" s="14"/>
      <c r="M3" s="14"/>
    </row>
    <row r="4" spans="1:13" ht="23.85" customHeight="1" x14ac:dyDescent="0.25">
      <c r="A4" s="6" t="s">
        <v>442</v>
      </c>
      <c r="B4" s="8">
        <v>0</v>
      </c>
      <c r="C4" s="7" t="s">
        <v>443</v>
      </c>
      <c r="D4" s="7" t="s">
        <v>439</v>
      </c>
      <c r="E4" s="7" t="s">
        <v>444</v>
      </c>
      <c r="F4" s="7" t="s">
        <v>445</v>
      </c>
      <c r="G4" s="8" t="s">
        <v>434</v>
      </c>
      <c r="H4" s="8" t="s">
        <v>20</v>
      </c>
      <c r="I4" s="7" t="s">
        <v>435</v>
      </c>
      <c r="J4" s="12" t="s">
        <v>436</v>
      </c>
      <c r="K4" s="13"/>
      <c r="L4" s="14"/>
      <c r="M4" s="14"/>
    </row>
    <row r="5" spans="1:13" ht="23.85" customHeight="1" x14ac:dyDescent="0.25">
      <c r="A5" s="6" t="s">
        <v>446</v>
      </c>
      <c r="B5" s="8">
        <v>0</v>
      </c>
      <c r="C5" s="7" t="s">
        <v>447</v>
      </c>
      <c r="D5" s="7" t="s">
        <v>439</v>
      </c>
      <c r="E5" s="7" t="s">
        <v>448</v>
      </c>
      <c r="F5" s="7" t="s">
        <v>449</v>
      </c>
      <c r="G5" s="8" t="s">
        <v>434</v>
      </c>
      <c r="H5" s="8" t="s">
        <v>20</v>
      </c>
      <c r="I5" s="7" t="s">
        <v>435</v>
      </c>
      <c r="J5" s="12" t="s">
        <v>436</v>
      </c>
      <c r="K5" s="13"/>
      <c r="L5" s="14"/>
      <c r="M5" s="14"/>
    </row>
    <row r="6" spans="1:13" ht="23.85" customHeight="1" x14ac:dyDescent="0.25">
      <c r="A6" s="6" t="s">
        <v>450</v>
      </c>
      <c r="B6" s="8">
        <v>0</v>
      </c>
      <c r="C6" s="7" t="s">
        <v>451</v>
      </c>
      <c r="D6" s="7" t="s">
        <v>439</v>
      </c>
      <c r="E6" s="7" t="s">
        <v>452</v>
      </c>
      <c r="F6" s="7" t="s">
        <v>453</v>
      </c>
      <c r="G6" s="8" t="s">
        <v>434</v>
      </c>
      <c r="H6" s="8" t="s">
        <v>20</v>
      </c>
      <c r="I6" s="7" t="s">
        <v>435</v>
      </c>
      <c r="J6" s="12" t="s">
        <v>436</v>
      </c>
      <c r="K6" s="13"/>
      <c r="L6" s="14"/>
      <c r="M6" s="14"/>
    </row>
    <row r="7" spans="1:13" ht="23.85" customHeight="1" x14ac:dyDescent="0.25">
      <c r="A7" s="6" t="s">
        <v>454</v>
      </c>
      <c r="B7" s="8">
        <v>0</v>
      </c>
      <c r="C7" s="7" t="s">
        <v>455</v>
      </c>
      <c r="D7" s="7" t="s">
        <v>456</v>
      </c>
      <c r="E7" s="7" t="s">
        <v>457</v>
      </c>
      <c r="F7" s="7" t="s">
        <v>458</v>
      </c>
      <c r="G7" s="8" t="s">
        <v>434</v>
      </c>
      <c r="H7" s="8" t="s">
        <v>14</v>
      </c>
      <c r="I7" s="7" t="s">
        <v>459</v>
      </c>
      <c r="J7" s="12" t="s">
        <v>436</v>
      </c>
      <c r="K7" s="13"/>
      <c r="L7" s="14"/>
      <c r="M7" s="14"/>
    </row>
    <row r="8" spans="1:13" ht="15" customHeight="1" x14ac:dyDescent="0.25">
      <c r="A8" s="6" t="s">
        <v>460</v>
      </c>
      <c r="B8" s="8">
        <v>0</v>
      </c>
      <c r="C8" s="7" t="s">
        <v>461</v>
      </c>
      <c r="D8" s="7" t="s">
        <v>456</v>
      </c>
      <c r="E8" s="7" t="s">
        <v>462</v>
      </c>
      <c r="F8" s="7" t="s">
        <v>463</v>
      </c>
      <c r="G8" s="8" t="s">
        <v>434</v>
      </c>
      <c r="H8" s="8" t="s">
        <v>14</v>
      </c>
      <c r="I8" s="7" t="s">
        <v>456</v>
      </c>
      <c r="J8" s="12" t="s">
        <v>436</v>
      </c>
      <c r="K8" s="13"/>
      <c r="L8" s="14"/>
      <c r="M8" s="14"/>
    </row>
    <row r="9" spans="1:13" ht="23.85" customHeight="1" x14ac:dyDescent="0.25">
      <c r="A9" s="6" t="s">
        <v>464</v>
      </c>
      <c r="B9" s="8">
        <v>0</v>
      </c>
      <c r="C9" s="7" t="s">
        <v>465</v>
      </c>
      <c r="D9" s="7" t="s">
        <v>431</v>
      </c>
      <c r="E9" s="7" t="s">
        <v>466</v>
      </c>
      <c r="F9" s="7" t="s">
        <v>467</v>
      </c>
      <c r="G9" s="8" t="s">
        <v>434</v>
      </c>
      <c r="H9" s="8" t="s">
        <v>20</v>
      </c>
      <c r="I9" s="7" t="s">
        <v>435</v>
      </c>
      <c r="J9" s="12" t="s">
        <v>436</v>
      </c>
      <c r="K9" s="13"/>
      <c r="L9" s="14"/>
      <c r="M9" s="14"/>
    </row>
    <row r="10" spans="1:13" ht="23.85" customHeight="1" x14ac:dyDescent="0.25">
      <c r="A10" s="6" t="s">
        <v>468</v>
      </c>
      <c r="B10" s="8">
        <v>0</v>
      </c>
      <c r="C10" s="7" t="s">
        <v>469</v>
      </c>
      <c r="D10" s="7" t="s">
        <v>439</v>
      </c>
      <c r="E10" s="7" t="s">
        <v>470</v>
      </c>
      <c r="F10" s="7" t="s">
        <v>471</v>
      </c>
      <c r="G10" s="8" t="s">
        <v>434</v>
      </c>
      <c r="H10" s="8" t="s">
        <v>20</v>
      </c>
      <c r="I10" s="7" t="s">
        <v>435</v>
      </c>
      <c r="J10" s="12" t="s">
        <v>436</v>
      </c>
      <c r="K10" s="13"/>
      <c r="L10" s="14"/>
      <c r="M10" s="14"/>
    </row>
    <row r="11" spans="1:13" ht="23.85" customHeight="1" x14ac:dyDescent="0.25">
      <c r="A11" s="6" t="s">
        <v>472</v>
      </c>
      <c r="B11" s="8">
        <v>1</v>
      </c>
      <c r="C11" s="7" t="s">
        <v>473</v>
      </c>
      <c r="D11" s="7" t="s">
        <v>474</v>
      </c>
      <c r="E11" s="7" t="s">
        <v>475</v>
      </c>
      <c r="F11" s="7" t="s">
        <v>476</v>
      </c>
      <c r="G11" s="8" t="s">
        <v>434</v>
      </c>
      <c r="H11" s="8" t="s">
        <v>20</v>
      </c>
      <c r="I11" s="7" t="s">
        <v>477</v>
      </c>
      <c r="J11" s="12" t="s">
        <v>436</v>
      </c>
      <c r="K11" s="13"/>
      <c r="L11" s="14"/>
      <c r="M11" s="14"/>
    </row>
    <row r="12" spans="1:13" ht="23.85" customHeight="1" x14ac:dyDescent="0.25">
      <c r="A12" s="6" t="s">
        <v>478</v>
      </c>
      <c r="B12" s="8">
        <v>1</v>
      </c>
      <c r="C12" s="7" t="s">
        <v>479</v>
      </c>
      <c r="D12" s="7" t="s">
        <v>480</v>
      </c>
      <c r="E12" s="7" t="s">
        <v>481</v>
      </c>
      <c r="F12" s="7" t="s">
        <v>482</v>
      </c>
      <c r="G12" s="8" t="s">
        <v>434</v>
      </c>
      <c r="H12" s="8" t="s">
        <v>20</v>
      </c>
      <c r="I12" s="7" t="s">
        <v>435</v>
      </c>
      <c r="J12" s="12" t="s">
        <v>436</v>
      </c>
      <c r="K12" s="13"/>
      <c r="L12" s="14"/>
      <c r="M12" s="14"/>
    </row>
    <row r="13" spans="1:13" ht="35.1" customHeight="1" x14ac:dyDescent="0.25">
      <c r="A13" s="6" t="s">
        <v>483</v>
      </c>
      <c r="B13" s="8">
        <v>1</v>
      </c>
      <c r="C13" s="7" t="s">
        <v>484</v>
      </c>
      <c r="D13" s="7" t="s">
        <v>474</v>
      </c>
      <c r="E13" s="7" t="s">
        <v>485</v>
      </c>
      <c r="F13" s="7" t="s">
        <v>486</v>
      </c>
      <c r="G13" s="8" t="s">
        <v>434</v>
      </c>
      <c r="H13" s="8" t="s">
        <v>20</v>
      </c>
      <c r="I13" s="7" t="s">
        <v>435</v>
      </c>
      <c r="J13" s="12" t="s">
        <v>436</v>
      </c>
      <c r="K13" s="13"/>
      <c r="L13" s="14"/>
      <c r="M13" s="14"/>
    </row>
    <row r="14" spans="1:13" ht="35.1" customHeight="1" x14ac:dyDescent="0.25">
      <c r="A14" s="6" t="s">
        <v>487</v>
      </c>
      <c r="B14" s="8">
        <v>1</v>
      </c>
      <c r="C14" s="7" t="s">
        <v>488</v>
      </c>
      <c r="D14" s="7" t="s">
        <v>489</v>
      </c>
      <c r="E14" s="7" t="s">
        <v>490</v>
      </c>
      <c r="F14" s="7" t="s">
        <v>491</v>
      </c>
      <c r="G14" s="8" t="s">
        <v>434</v>
      </c>
      <c r="H14" s="8" t="s">
        <v>492</v>
      </c>
      <c r="I14" s="7" t="s">
        <v>493</v>
      </c>
      <c r="J14" s="12" t="s">
        <v>436</v>
      </c>
      <c r="K14" s="13"/>
      <c r="L14" s="14"/>
      <c r="M14" s="14"/>
    </row>
    <row r="15" spans="1:13" ht="23.85" customHeight="1" x14ac:dyDescent="0.25">
      <c r="A15" s="6" t="s">
        <v>494</v>
      </c>
      <c r="B15" s="8">
        <v>1</v>
      </c>
      <c r="C15" s="7" t="s">
        <v>495</v>
      </c>
      <c r="D15" s="7" t="s">
        <v>456</v>
      </c>
      <c r="E15" s="7" t="s">
        <v>496</v>
      </c>
      <c r="F15" s="7" t="s">
        <v>497</v>
      </c>
      <c r="G15" s="8" t="s">
        <v>434</v>
      </c>
      <c r="H15" s="8" t="s">
        <v>14</v>
      </c>
      <c r="I15" s="7" t="s">
        <v>456</v>
      </c>
      <c r="J15" s="12" t="s">
        <v>436</v>
      </c>
      <c r="K15" s="13"/>
      <c r="L15" s="14"/>
      <c r="M15" s="14"/>
    </row>
    <row r="16" spans="1:13" ht="15" customHeight="1" x14ac:dyDescent="0.25">
      <c r="A16" s="6" t="s">
        <v>498</v>
      </c>
      <c r="B16" s="8">
        <v>1</v>
      </c>
      <c r="C16" s="7" t="s">
        <v>499</v>
      </c>
      <c r="D16" s="7" t="s">
        <v>480</v>
      </c>
      <c r="E16" s="7" t="s">
        <v>500</v>
      </c>
      <c r="F16" s="7" t="s">
        <v>501</v>
      </c>
      <c r="G16" s="8" t="s">
        <v>434</v>
      </c>
      <c r="H16" s="8" t="s">
        <v>20</v>
      </c>
      <c r="I16" s="7" t="s">
        <v>502</v>
      </c>
      <c r="J16" s="12" t="s">
        <v>436</v>
      </c>
      <c r="K16" s="13"/>
      <c r="L16" s="14"/>
      <c r="M16" s="14"/>
    </row>
    <row r="17" spans="1:13" ht="23.85" customHeight="1" x14ac:dyDescent="0.25">
      <c r="A17" s="6" t="s">
        <v>503</v>
      </c>
      <c r="B17" s="8">
        <v>1</v>
      </c>
      <c r="C17" s="7" t="s">
        <v>504</v>
      </c>
      <c r="D17" s="7" t="s">
        <v>505</v>
      </c>
      <c r="E17" s="7" t="s">
        <v>506</v>
      </c>
      <c r="F17" s="7" t="s">
        <v>507</v>
      </c>
      <c r="G17" s="8" t="s">
        <v>434</v>
      </c>
      <c r="H17" s="8" t="s">
        <v>20</v>
      </c>
      <c r="I17" s="7" t="s">
        <v>435</v>
      </c>
      <c r="J17" s="12" t="s">
        <v>436</v>
      </c>
      <c r="K17" s="13"/>
      <c r="L17" s="14"/>
      <c r="M17" s="14"/>
    </row>
    <row r="18" spans="1:13" ht="23.85" customHeight="1" x14ac:dyDescent="0.25">
      <c r="A18" s="6" t="s">
        <v>508</v>
      </c>
      <c r="B18" s="8">
        <v>1</v>
      </c>
      <c r="C18" s="7" t="s">
        <v>509</v>
      </c>
      <c r="D18" s="7" t="s">
        <v>510</v>
      </c>
      <c r="E18" s="7" t="s">
        <v>511</v>
      </c>
      <c r="F18" s="7" t="s">
        <v>512</v>
      </c>
      <c r="G18" s="8" t="s">
        <v>434</v>
      </c>
      <c r="H18" s="8" t="s">
        <v>14</v>
      </c>
      <c r="I18" s="7" t="s">
        <v>456</v>
      </c>
      <c r="J18" s="12" t="s">
        <v>436</v>
      </c>
      <c r="K18" s="13"/>
      <c r="L18" s="14"/>
      <c r="M18" s="14"/>
    </row>
    <row r="19" spans="1:13" ht="15" customHeight="1" x14ac:dyDescent="0.25">
      <c r="A19" s="6" t="s">
        <v>513</v>
      </c>
      <c r="B19" s="8">
        <v>1</v>
      </c>
      <c r="C19" s="7" t="s">
        <v>514</v>
      </c>
      <c r="D19" s="7" t="s">
        <v>456</v>
      </c>
      <c r="E19" s="7" t="s">
        <v>515</v>
      </c>
      <c r="F19" s="7" t="s">
        <v>516</v>
      </c>
      <c r="G19" s="8" t="s">
        <v>517</v>
      </c>
      <c r="H19" s="8" t="s">
        <v>14</v>
      </c>
      <c r="I19" s="7" t="s">
        <v>456</v>
      </c>
      <c r="J19" s="12" t="s">
        <v>436</v>
      </c>
      <c r="K19" s="13"/>
      <c r="L19" s="14"/>
      <c r="M19" s="14"/>
    </row>
    <row r="20" spans="1:13" ht="23.85" customHeight="1" x14ac:dyDescent="0.25">
      <c r="A20" s="6" t="s">
        <v>518</v>
      </c>
      <c r="B20" s="8">
        <v>2</v>
      </c>
      <c r="C20" s="7" t="s">
        <v>519</v>
      </c>
      <c r="D20" s="7" t="s">
        <v>480</v>
      </c>
      <c r="E20" s="7" t="s">
        <v>520</v>
      </c>
      <c r="F20" s="7" t="s">
        <v>521</v>
      </c>
      <c r="G20" s="8" t="s">
        <v>434</v>
      </c>
      <c r="H20" s="8" t="s">
        <v>20</v>
      </c>
      <c r="I20" s="7" t="s">
        <v>435</v>
      </c>
      <c r="J20" s="12" t="s">
        <v>436</v>
      </c>
      <c r="K20" s="13"/>
      <c r="L20" s="14"/>
      <c r="M20" s="14"/>
    </row>
    <row r="21" spans="1:13" ht="23.85" customHeight="1" x14ac:dyDescent="0.25">
      <c r="A21" s="6" t="s">
        <v>522</v>
      </c>
      <c r="B21" s="8">
        <v>2</v>
      </c>
      <c r="C21" s="7" t="s">
        <v>523</v>
      </c>
      <c r="D21" s="7" t="s">
        <v>474</v>
      </c>
      <c r="E21" s="7" t="s">
        <v>524</v>
      </c>
      <c r="F21" s="7" t="s">
        <v>525</v>
      </c>
      <c r="G21" s="8" t="s">
        <v>434</v>
      </c>
      <c r="H21" s="8" t="s">
        <v>20</v>
      </c>
      <c r="I21" s="7" t="s">
        <v>526</v>
      </c>
      <c r="J21" s="12" t="s">
        <v>436</v>
      </c>
      <c r="K21" s="13"/>
      <c r="L21" s="14"/>
      <c r="M21" s="14"/>
    </row>
    <row r="22" spans="1:13" ht="23.85" customHeight="1" x14ac:dyDescent="0.25">
      <c r="A22" s="6" t="s">
        <v>527</v>
      </c>
      <c r="B22" s="8">
        <v>2</v>
      </c>
      <c r="C22" s="7" t="s">
        <v>528</v>
      </c>
      <c r="D22" s="7" t="s">
        <v>489</v>
      </c>
      <c r="E22" s="7" t="s">
        <v>529</v>
      </c>
      <c r="F22" s="7" t="s">
        <v>530</v>
      </c>
      <c r="G22" s="8" t="s">
        <v>434</v>
      </c>
      <c r="H22" s="8" t="s">
        <v>20</v>
      </c>
      <c r="I22" s="7" t="s">
        <v>435</v>
      </c>
      <c r="J22" s="12" t="s">
        <v>436</v>
      </c>
      <c r="K22" s="13"/>
      <c r="L22" s="14"/>
      <c r="M22" s="14"/>
    </row>
    <row r="23" spans="1:13" ht="23.85" customHeight="1" x14ac:dyDescent="0.25">
      <c r="A23" s="6" t="s">
        <v>531</v>
      </c>
      <c r="B23" s="8">
        <v>2</v>
      </c>
      <c r="C23" s="7" t="s">
        <v>532</v>
      </c>
      <c r="D23" s="7" t="s">
        <v>489</v>
      </c>
      <c r="E23" s="7" t="s">
        <v>533</v>
      </c>
      <c r="F23" s="7" t="s">
        <v>534</v>
      </c>
      <c r="G23" s="8" t="s">
        <v>434</v>
      </c>
      <c r="H23" s="8" t="s">
        <v>20</v>
      </c>
      <c r="I23" s="7" t="s">
        <v>435</v>
      </c>
      <c r="J23" s="12" t="s">
        <v>436</v>
      </c>
      <c r="K23" s="13"/>
      <c r="L23" s="14"/>
      <c r="M23" s="14"/>
    </row>
    <row r="24" spans="1:13" ht="23.85" customHeight="1" x14ac:dyDescent="0.25">
      <c r="A24" s="6" t="s">
        <v>535</v>
      </c>
      <c r="B24" s="8">
        <v>2</v>
      </c>
      <c r="C24" s="7" t="s">
        <v>536</v>
      </c>
      <c r="D24" s="7" t="s">
        <v>537</v>
      </c>
      <c r="E24" s="7" t="s">
        <v>538</v>
      </c>
      <c r="F24" s="7" t="s">
        <v>539</v>
      </c>
      <c r="G24" s="8" t="s">
        <v>434</v>
      </c>
      <c r="H24" s="8" t="s">
        <v>20</v>
      </c>
      <c r="I24" s="7" t="s">
        <v>435</v>
      </c>
      <c r="J24" s="12" t="s">
        <v>436</v>
      </c>
      <c r="K24" s="13"/>
      <c r="L24" s="14"/>
      <c r="M24" s="14"/>
    </row>
    <row r="25" spans="1:13" ht="23.85" customHeight="1" x14ac:dyDescent="0.25">
      <c r="A25" s="6" t="s">
        <v>540</v>
      </c>
      <c r="B25" s="8">
        <v>2</v>
      </c>
      <c r="C25" s="7" t="s">
        <v>541</v>
      </c>
      <c r="D25" s="7" t="s">
        <v>542</v>
      </c>
      <c r="E25" s="7" t="s">
        <v>543</v>
      </c>
      <c r="F25" s="7" t="s">
        <v>544</v>
      </c>
      <c r="G25" s="8" t="s">
        <v>434</v>
      </c>
      <c r="H25" s="8" t="s">
        <v>20</v>
      </c>
      <c r="I25" s="7" t="s">
        <v>435</v>
      </c>
      <c r="J25" s="12" t="s">
        <v>436</v>
      </c>
      <c r="K25" s="13"/>
      <c r="L25" s="14"/>
      <c r="M25" s="14"/>
    </row>
    <row r="26" spans="1:13" ht="23.85" customHeight="1" x14ac:dyDescent="0.25">
      <c r="A26" s="6" t="s">
        <v>545</v>
      </c>
      <c r="B26" s="8">
        <v>2</v>
      </c>
      <c r="C26" s="7" t="s">
        <v>546</v>
      </c>
      <c r="D26" s="7" t="s">
        <v>489</v>
      </c>
      <c r="E26" s="7" t="s">
        <v>547</v>
      </c>
      <c r="F26" s="7" t="s">
        <v>548</v>
      </c>
      <c r="G26" s="8" t="s">
        <v>434</v>
      </c>
      <c r="H26" s="8" t="s">
        <v>20</v>
      </c>
      <c r="I26" s="7" t="s">
        <v>435</v>
      </c>
      <c r="J26" s="12" t="s">
        <v>436</v>
      </c>
      <c r="K26" s="13"/>
      <c r="L26" s="14"/>
      <c r="M26" s="14"/>
    </row>
    <row r="27" spans="1:13" ht="23.85" customHeight="1" x14ac:dyDescent="0.25">
      <c r="A27" s="6" t="s">
        <v>549</v>
      </c>
      <c r="B27" s="8">
        <v>2</v>
      </c>
      <c r="C27" s="7" t="s">
        <v>550</v>
      </c>
      <c r="D27" s="7" t="s">
        <v>489</v>
      </c>
      <c r="E27" s="7" t="s">
        <v>551</v>
      </c>
      <c r="F27" s="7" t="s">
        <v>552</v>
      </c>
      <c r="G27" s="8" t="s">
        <v>434</v>
      </c>
      <c r="H27" s="8" t="s">
        <v>492</v>
      </c>
      <c r="I27" s="7" t="s">
        <v>493</v>
      </c>
      <c r="J27" s="12" t="s">
        <v>436</v>
      </c>
      <c r="K27" s="13"/>
      <c r="L27" s="14"/>
      <c r="M27" s="14"/>
    </row>
    <row r="28" spans="1:13" ht="23.85" customHeight="1" x14ac:dyDescent="0.25">
      <c r="A28" s="6" t="s">
        <v>553</v>
      </c>
      <c r="B28" s="8">
        <v>2</v>
      </c>
      <c r="C28" s="7" t="s">
        <v>554</v>
      </c>
      <c r="D28" s="7" t="s">
        <v>489</v>
      </c>
      <c r="E28" s="7" t="s">
        <v>555</v>
      </c>
      <c r="F28" s="7" t="s">
        <v>556</v>
      </c>
      <c r="G28" s="8" t="s">
        <v>434</v>
      </c>
      <c r="H28" s="8" t="s">
        <v>20</v>
      </c>
      <c r="I28" s="7" t="s">
        <v>435</v>
      </c>
      <c r="J28" s="12" t="s">
        <v>436</v>
      </c>
      <c r="K28" s="13"/>
      <c r="L28" s="14"/>
      <c r="M28" s="14"/>
    </row>
    <row r="29" spans="1:13" ht="23.85" customHeight="1" x14ac:dyDescent="0.25">
      <c r="A29" s="6" t="s">
        <v>557</v>
      </c>
      <c r="B29" s="8">
        <v>2</v>
      </c>
      <c r="C29" s="7" t="s">
        <v>558</v>
      </c>
      <c r="D29" s="7" t="s">
        <v>489</v>
      </c>
      <c r="E29" s="7" t="s">
        <v>559</v>
      </c>
      <c r="F29" s="7" t="s">
        <v>560</v>
      </c>
      <c r="G29" s="8" t="s">
        <v>434</v>
      </c>
      <c r="H29" s="8" t="s">
        <v>20</v>
      </c>
      <c r="I29" s="7" t="s">
        <v>435</v>
      </c>
      <c r="J29" s="12" t="s">
        <v>436</v>
      </c>
      <c r="K29" s="13"/>
      <c r="L29" s="14"/>
      <c r="M29" s="14"/>
    </row>
    <row r="30" spans="1:13" ht="23.85" customHeight="1" x14ac:dyDescent="0.25">
      <c r="A30" s="6" t="s">
        <v>561</v>
      </c>
      <c r="B30" s="8">
        <v>2</v>
      </c>
      <c r="C30" s="7" t="s">
        <v>562</v>
      </c>
      <c r="D30" s="7" t="s">
        <v>489</v>
      </c>
      <c r="E30" s="7" t="s">
        <v>563</v>
      </c>
      <c r="F30" s="7" t="s">
        <v>564</v>
      </c>
      <c r="G30" s="8" t="s">
        <v>434</v>
      </c>
      <c r="H30" s="8" t="s">
        <v>20</v>
      </c>
      <c r="I30" s="7" t="s">
        <v>435</v>
      </c>
      <c r="J30" s="12" t="s">
        <v>436</v>
      </c>
      <c r="K30" s="13"/>
      <c r="L30" s="14"/>
      <c r="M30" s="14"/>
    </row>
    <row r="31" spans="1:13" ht="23.85" customHeight="1" x14ac:dyDescent="0.25">
      <c r="A31" s="6" t="s">
        <v>565</v>
      </c>
      <c r="B31" s="8">
        <v>2</v>
      </c>
      <c r="C31" s="7" t="s">
        <v>566</v>
      </c>
      <c r="D31" s="7" t="s">
        <v>567</v>
      </c>
      <c r="E31" s="7" t="s">
        <v>568</v>
      </c>
      <c r="F31" s="7" t="s">
        <v>569</v>
      </c>
      <c r="G31" s="8" t="s">
        <v>434</v>
      </c>
      <c r="H31" s="8" t="s">
        <v>20</v>
      </c>
      <c r="I31" s="7" t="s">
        <v>435</v>
      </c>
      <c r="J31" s="12" t="s">
        <v>436</v>
      </c>
      <c r="K31" s="13"/>
      <c r="L31" s="14"/>
      <c r="M31" s="14"/>
    </row>
    <row r="32" spans="1:13" ht="23.85" customHeight="1" x14ac:dyDescent="0.25">
      <c r="A32" s="6" t="s">
        <v>570</v>
      </c>
      <c r="B32" s="8">
        <v>2</v>
      </c>
      <c r="C32" s="7" t="s">
        <v>571</v>
      </c>
      <c r="D32" s="7" t="s">
        <v>567</v>
      </c>
      <c r="E32" s="7" t="s">
        <v>572</v>
      </c>
      <c r="F32" s="7" t="s">
        <v>573</v>
      </c>
      <c r="G32" s="8" t="s">
        <v>434</v>
      </c>
      <c r="H32" s="8" t="s">
        <v>20</v>
      </c>
      <c r="I32" s="7" t="s">
        <v>435</v>
      </c>
      <c r="J32" s="12" t="s">
        <v>436</v>
      </c>
      <c r="K32" s="13"/>
      <c r="L32" s="14"/>
      <c r="M32" s="14"/>
    </row>
    <row r="33" spans="1:13" ht="23.85" customHeight="1" x14ac:dyDescent="0.25">
      <c r="A33" s="6" t="s">
        <v>574</v>
      </c>
      <c r="B33" s="8">
        <v>2</v>
      </c>
      <c r="C33" s="7" t="s">
        <v>575</v>
      </c>
      <c r="D33" s="7" t="s">
        <v>510</v>
      </c>
      <c r="E33" s="7" t="s">
        <v>576</v>
      </c>
      <c r="F33" s="7" t="s">
        <v>577</v>
      </c>
      <c r="G33" s="8" t="s">
        <v>434</v>
      </c>
      <c r="H33" s="8" t="s">
        <v>20</v>
      </c>
      <c r="I33" s="7" t="s">
        <v>502</v>
      </c>
      <c r="J33" s="12" t="s">
        <v>436</v>
      </c>
      <c r="K33" s="13"/>
      <c r="L33" s="14"/>
      <c r="M33" s="14"/>
    </row>
    <row r="34" spans="1:13" ht="23.85" customHeight="1" x14ac:dyDescent="0.25">
      <c r="A34" s="6" t="s">
        <v>578</v>
      </c>
      <c r="B34" s="8">
        <v>2</v>
      </c>
      <c r="C34" s="7" t="s">
        <v>579</v>
      </c>
      <c r="D34" s="7" t="s">
        <v>580</v>
      </c>
      <c r="E34" s="7" t="s">
        <v>581</v>
      </c>
      <c r="F34" s="7" t="s">
        <v>582</v>
      </c>
      <c r="G34" s="8" t="s">
        <v>434</v>
      </c>
      <c r="H34" s="8" t="s">
        <v>20</v>
      </c>
      <c r="I34" s="7" t="s">
        <v>502</v>
      </c>
      <c r="J34" s="12" t="s">
        <v>436</v>
      </c>
      <c r="K34" s="13"/>
      <c r="L34" s="14"/>
      <c r="M34" s="14"/>
    </row>
    <row r="35" spans="1:13" ht="23.85" customHeight="1" x14ac:dyDescent="0.25">
      <c r="A35" s="6" t="s">
        <v>583</v>
      </c>
      <c r="B35" s="8">
        <v>3</v>
      </c>
      <c r="C35" s="7" t="s">
        <v>584</v>
      </c>
      <c r="D35" s="7" t="s">
        <v>474</v>
      </c>
      <c r="E35" s="7" t="s">
        <v>585</v>
      </c>
      <c r="F35" s="7" t="s">
        <v>586</v>
      </c>
      <c r="G35" s="8" t="s">
        <v>434</v>
      </c>
      <c r="H35" s="8" t="s">
        <v>20</v>
      </c>
      <c r="I35" s="7" t="s">
        <v>435</v>
      </c>
      <c r="J35" s="12" t="s">
        <v>436</v>
      </c>
      <c r="K35" s="13"/>
      <c r="L35" s="14"/>
      <c r="M35" s="14"/>
    </row>
    <row r="36" spans="1:13" ht="23.85" customHeight="1" x14ac:dyDescent="0.25">
      <c r="A36" s="6" t="s">
        <v>587</v>
      </c>
      <c r="B36" s="8">
        <v>3</v>
      </c>
      <c r="C36" s="7" t="s">
        <v>588</v>
      </c>
      <c r="D36" s="7" t="s">
        <v>474</v>
      </c>
      <c r="E36" s="7" t="s">
        <v>589</v>
      </c>
      <c r="F36" s="7" t="s">
        <v>590</v>
      </c>
      <c r="G36" s="8" t="s">
        <v>434</v>
      </c>
      <c r="H36" s="8" t="s">
        <v>20</v>
      </c>
      <c r="I36" s="7" t="s">
        <v>435</v>
      </c>
      <c r="J36" s="12" t="s">
        <v>436</v>
      </c>
      <c r="K36" s="13"/>
      <c r="L36" s="14"/>
      <c r="M36" s="14"/>
    </row>
    <row r="37" spans="1:13" ht="23.85" customHeight="1" x14ac:dyDescent="0.25">
      <c r="A37" s="6" t="s">
        <v>591</v>
      </c>
      <c r="B37" s="8">
        <v>3</v>
      </c>
      <c r="C37" s="7" t="s">
        <v>592</v>
      </c>
      <c r="D37" s="7" t="s">
        <v>542</v>
      </c>
      <c r="E37" s="7" t="s">
        <v>543</v>
      </c>
      <c r="F37" s="7" t="s">
        <v>593</v>
      </c>
      <c r="G37" s="8" t="s">
        <v>434</v>
      </c>
      <c r="H37" s="8" t="s">
        <v>20</v>
      </c>
      <c r="I37" s="7" t="s">
        <v>435</v>
      </c>
      <c r="J37" s="12" t="s">
        <v>436</v>
      </c>
      <c r="K37" s="13"/>
      <c r="L37" s="14"/>
      <c r="M37" s="14"/>
    </row>
    <row r="38" spans="1:13" ht="23.85" customHeight="1" x14ac:dyDescent="0.25">
      <c r="A38" s="6" t="s">
        <v>594</v>
      </c>
      <c r="B38" s="8">
        <v>3</v>
      </c>
      <c r="C38" s="7" t="s">
        <v>595</v>
      </c>
      <c r="D38" s="7" t="s">
        <v>489</v>
      </c>
      <c r="E38" s="7" t="s">
        <v>596</v>
      </c>
      <c r="F38" s="7" t="s">
        <v>597</v>
      </c>
      <c r="G38" s="8" t="s">
        <v>434</v>
      </c>
      <c r="H38" s="8" t="s">
        <v>20</v>
      </c>
      <c r="I38" s="7" t="s">
        <v>435</v>
      </c>
      <c r="J38" s="12" t="s">
        <v>436</v>
      </c>
      <c r="K38" s="13"/>
      <c r="L38" s="14"/>
      <c r="M38" s="14"/>
    </row>
    <row r="39" spans="1:13" ht="35.1" customHeight="1" x14ac:dyDescent="0.25">
      <c r="A39" s="6" t="s">
        <v>598</v>
      </c>
      <c r="B39" s="8">
        <v>3</v>
      </c>
      <c r="C39" s="7" t="s">
        <v>599</v>
      </c>
      <c r="D39" s="7" t="s">
        <v>489</v>
      </c>
      <c r="E39" s="7" t="s">
        <v>600</v>
      </c>
      <c r="F39" s="7" t="s">
        <v>601</v>
      </c>
      <c r="G39" s="8" t="s">
        <v>434</v>
      </c>
      <c r="H39" s="8" t="s">
        <v>20</v>
      </c>
      <c r="I39" s="7" t="s">
        <v>435</v>
      </c>
      <c r="J39" s="12" t="s">
        <v>436</v>
      </c>
      <c r="K39" s="13"/>
      <c r="L39" s="14"/>
      <c r="M39" s="14"/>
    </row>
    <row r="40" spans="1:13" ht="23.85" customHeight="1" x14ac:dyDescent="0.25">
      <c r="A40" s="6" t="s">
        <v>602</v>
      </c>
      <c r="B40" s="8">
        <v>3</v>
      </c>
      <c r="C40" s="7" t="s">
        <v>603</v>
      </c>
      <c r="D40" s="7" t="s">
        <v>489</v>
      </c>
      <c r="E40" s="7" t="s">
        <v>604</v>
      </c>
      <c r="F40" s="7" t="s">
        <v>605</v>
      </c>
      <c r="G40" s="8" t="s">
        <v>434</v>
      </c>
      <c r="H40" s="8" t="s">
        <v>20</v>
      </c>
      <c r="I40" s="7" t="s">
        <v>435</v>
      </c>
      <c r="J40" s="12" t="s">
        <v>436</v>
      </c>
      <c r="K40" s="13"/>
      <c r="L40" s="14"/>
      <c r="M40" s="14"/>
    </row>
    <row r="41" spans="1:13" ht="23.85" customHeight="1" x14ac:dyDescent="0.25">
      <c r="A41" s="6" t="s">
        <v>606</v>
      </c>
      <c r="B41" s="8">
        <v>3</v>
      </c>
      <c r="C41" s="7" t="s">
        <v>607</v>
      </c>
      <c r="D41" s="7" t="s">
        <v>510</v>
      </c>
      <c r="E41" s="7" t="s">
        <v>608</v>
      </c>
      <c r="F41" s="7" t="s">
        <v>609</v>
      </c>
      <c r="G41" s="8" t="s">
        <v>434</v>
      </c>
      <c r="H41" s="8" t="s">
        <v>20</v>
      </c>
      <c r="I41" s="7" t="s">
        <v>502</v>
      </c>
      <c r="J41" s="12" t="s">
        <v>436</v>
      </c>
      <c r="K41" s="13"/>
      <c r="L41" s="14"/>
      <c r="M41" s="14"/>
    </row>
    <row r="42" spans="1:13" ht="23.85" customHeight="1" x14ac:dyDescent="0.25">
      <c r="A42" s="6" t="s">
        <v>610</v>
      </c>
      <c r="B42" s="8">
        <v>3</v>
      </c>
      <c r="C42" s="7" t="s">
        <v>611</v>
      </c>
      <c r="D42" s="7" t="s">
        <v>489</v>
      </c>
      <c r="E42" s="7" t="s">
        <v>612</v>
      </c>
      <c r="F42" s="7" t="s">
        <v>613</v>
      </c>
      <c r="G42" s="8" t="s">
        <v>434</v>
      </c>
      <c r="H42" s="8" t="s">
        <v>20</v>
      </c>
      <c r="I42" s="7" t="s">
        <v>435</v>
      </c>
      <c r="J42" s="12" t="s">
        <v>436</v>
      </c>
      <c r="K42" s="13"/>
      <c r="L42" s="14"/>
      <c r="M42" s="14"/>
    </row>
    <row r="43" spans="1:13" ht="23.85" customHeight="1" x14ac:dyDescent="0.25">
      <c r="A43" s="6" t="s">
        <v>614</v>
      </c>
      <c r="B43" s="8">
        <v>3</v>
      </c>
      <c r="C43" s="7" t="s">
        <v>615</v>
      </c>
      <c r="D43" s="7" t="s">
        <v>505</v>
      </c>
      <c r="E43" s="7" t="s">
        <v>616</v>
      </c>
      <c r="F43" s="7" t="s">
        <v>617</v>
      </c>
      <c r="G43" s="8" t="s">
        <v>434</v>
      </c>
      <c r="H43" s="8" t="s">
        <v>20</v>
      </c>
      <c r="I43" s="7" t="s">
        <v>502</v>
      </c>
      <c r="J43" s="12" t="s">
        <v>436</v>
      </c>
      <c r="K43" s="13"/>
      <c r="L43" s="14"/>
      <c r="M43" s="14"/>
    </row>
    <row r="44" spans="1:13" ht="23.85" customHeight="1" x14ac:dyDescent="0.25">
      <c r="A44" s="6" t="s">
        <v>618</v>
      </c>
      <c r="B44" s="8">
        <v>3</v>
      </c>
      <c r="C44" s="7" t="s">
        <v>619</v>
      </c>
      <c r="D44" s="7" t="s">
        <v>474</v>
      </c>
      <c r="E44" s="7" t="s">
        <v>620</v>
      </c>
      <c r="F44" s="7" t="s">
        <v>621</v>
      </c>
      <c r="G44" s="8" t="s">
        <v>434</v>
      </c>
      <c r="H44" s="8" t="s">
        <v>20</v>
      </c>
      <c r="I44" s="7" t="s">
        <v>435</v>
      </c>
      <c r="J44" s="12" t="s">
        <v>436</v>
      </c>
      <c r="K44" s="13"/>
      <c r="L44" s="14"/>
      <c r="M44" s="14"/>
    </row>
    <row r="45" spans="1:13" ht="15" customHeight="1" x14ac:dyDescent="0.25">
      <c r="A45" s="6" t="s">
        <v>622</v>
      </c>
      <c r="B45" s="8">
        <v>3</v>
      </c>
      <c r="C45" s="7" t="s">
        <v>623</v>
      </c>
      <c r="D45" s="7" t="s">
        <v>510</v>
      </c>
      <c r="E45" s="7" t="s">
        <v>624</v>
      </c>
      <c r="F45" s="7" t="s">
        <v>625</v>
      </c>
      <c r="G45" s="8" t="s">
        <v>434</v>
      </c>
      <c r="H45" s="8" t="s">
        <v>20</v>
      </c>
      <c r="I45" s="7" t="s">
        <v>502</v>
      </c>
      <c r="J45" s="12" t="s">
        <v>436</v>
      </c>
      <c r="K45" s="13"/>
      <c r="L45" s="14"/>
      <c r="M45" s="14"/>
    </row>
    <row r="46" spans="1:13" ht="23.85" customHeight="1" x14ac:dyDescent="0.25">
      <c r="A46" s="6" t="s">
        <v>626</v>
      </c>
      <c r="B46" s="8">
        <v>3</v>
      </c>
      <c r="C46" s="7" t="s">
        <v>627</v>
      </c>
      <c r="D46" s="7" t="s">
        <v>628</v>
      </c>
      <c r="E46" s="7" t="s">
        <v>629</v>
      </c>
      <c r="F46" s="7" t="s">
        <v>630</v>
      </c>
      <c r="G46" s="8" t="s">
        <v>434</v>
      </c>
      <c r="H46" s="8" t="s">
        <v>492</v>
      </c>
      <c r="I46" s="7" t="s">
        <v>493</v>
      </c>
      <c r="J46" s="12" t="s">
        <v>436</v>
      </c>
      <c r="K46" s="13"/>
      <c r="L46" s="14"/>
      <c r="M46" s="14"/>
    </row>
    <row r="47" spans="1:13" ht="23.85" customHeight="1" x14ac:dyDescent="0.25">
      <c r="A47" s="6" t="s">
        <v>631</v>
      </c>
      <c r="B47" s="8">
        <v>3</v>
      </c>
      <c r="C47" s="7" t="s">
        <v>632</v>
      </c>
      <c r="D47" s="7" t="s">
        <v>456</v>
      </c>
      <c r="E47" s="7" t="s">
        <v>633</v>
      </c>
      <c r="F47" s="7" t="s">
        <v>634</v>
      </c>
      <c r="G47" s="8" t="s">
        <v>434</v>
      </c>
      <c r="H47" s="8" t="s">
        <v>14</v>
      </c>
      <c r="I47" s="7" t="s">
        <v>456</v>
      </c>
      <c r="J47" s="12" t="s">
        <v>436</v>
      </c>
      <c r="K47" s="13"/>
      <c r="L47" s="14"/>
      <c r="M47" s="14"/>
    </row>
    <row r="48" spans="1:13" ht="15" customHeight="1" x14ac:dyDescent="0.25">
      <c r="A48" s="6" t="s">
        <v>635</v>
      </c>
      <c r="B48" s="8">
        <v>4</v>
      </c>
      <c r="C48" s="7" t="s">
        <v>636</v>
      </c>
      <c r="D48" s="7" t="s">
        <v>480</v>
      </c>
      <c r="E48" s="7" t="s">
        <v>637</v>
      </c>
      <c r="F48" s="7" t="s">
        <v>638</v>
      </c>
      <c r="G48" s="8" t="s">
        <v>434</v>
      </c>
      <c r="H48" s="8" t="s">
        <v>20</v>
      </c>
      <c r="I48" s="7" t="s">
        <v>435</v>
      </c>
      <c r="J48" s="12" t="s">
        <v>436</v>
      </c>
      <c r="K48" s="13"/>
      <c r="L48" s="14"/>
      <c r="M48" s="14"/>
    </row>
    <row r="49" spans="1:13" ht="23.85" customHeight="1" x14ac:dyDescent="0.25">
      <c r="A49" s="6" t="s">
        <v>639</v>
      </c>
      <c r="B49" s="8">
        <v>4</v>
      </c>
      <c r="C49" s="7" t="s">
        <v>640</v>
      </c>
      <c r="D49" s="7" t="s">
        <v>456</v>
      </c>
      <c r="E49" s="7" t="s">
        <v>641</v>
      </c>
      <c r="F49" s="7" t="s">
        <v>642</v>
      </c>
      <c r="G49" s="8" t="s">
        <v>434</v>
      </c>
      <c r="H49" s="8" t="s">
        <v>14</v>
      </c>
      <c r="I49" s="7" t="s">
        <v>456</v>
      </c>
      <c r="J49" s="12" t="s">
        <v>436</v>
      </c>
      <c r="K49" s="13"/>
      <c r="L49" s="14"/>
      <c r="M49" s="14"/>
    </row>
    <row r="50" spans="1:13" ht="15" customHeight="1" x14ac:dyDescent="0.25">
      <c r="A50" s="6" t="s">
        <v>643</v>
      </c>
      <c r="B50" s="8">
        <v>4</v>
      </c>
      <c r="C50" s="7" t="s">
        <v>644</v>
      </c>
      <c r="D50" s="7" t="s">
        <v>489</v>
      </c>
      <c r="E50" s="7" t="s">
        <v>645</v>
      </c>
      <c r="F50" s="7" t="s">
        <v>646</v>
      </c>
      <c r="G50" s="8" t="s">
        <v>434</v>
      </c>
      <c r="H50" s="8" t="s">
        <v>20</v>
      </c>
      <c r="I50" s="7" t="s">
        <v>435</v>
      </c>
      <c r="J50" s="12" t="s">
        <v>436</v>
      </c>
      <c r="K50" s="13"/>
      <c r="L50" s="14"/>
      <c r="M50" s="14"/>
    </row>
    <row r="51" spans="1:13" ht="23.85" customHeight="1" x14ac:dyDescent="0.25">
      <c r="A51" s="6" t="s">
        <v>647</v>
      </c>
      <c r="B51" s="8">
        <v>4</v>
      </c>
      <c r="C51" s="7" t="s">
        <v>648</v>
      </c>
      <c r="D51" s="7" t="s">
        <v>474</v>
      </c>
      <c r="E51" s="7" t="s">
        <v>649</v>
      </c>
      <c r="F51" s="7" t="s">
        <v>650</v>
      </c>
      <c r="G51" s="8" t="s">
        <v>434</v>
      </c>
      <c r="H51" s="8" t="s">
        <v>20</v>
      </c>
      <c r="I51" s="7" t="s">
        <v>526</v>
      </c>
      <c r="J51" s="12" t="s">
        <v>436</v>
      </c>
      <c r="K51" s="13"/>
      <c r="L51" s="14"/>
      <c r="M51" s="14"/>
    </row>
    <row r="52" spans="1:13" ht="23.85" customHeight="1" x14ac:dyDescent="0.25">
      <c r="A52" s="6" t="s">
        <v>651</v>
      </c>
      <c r="B52" s="8">
        <v>4</v>
      </c>
      <c r="C52" s="7" t="s">
        <v>652</v>
      </c>
      <c r="D52" s="7" t="s">
        <v>537</v>
      </c>
      <c r="E52" s="7" t="s">
        <v>653</v>
      </c>
      <c r="F52" s="7" t="s">
        <v>654</v>
      </c>
      <c r="G52" s="8" t="s">
        <v>434</v>
      </c>
      <c r="H52" s="8" t="s">
        <v>20</v>
      </c>
      <c r="I52" s="7" t="s">
        <v>502</v>
      </c>
      <c r="J52" s="12" t="s">
        <v>436</v>
      </c>
      <c r="K52" s="13"/>
      <c r="L52" s="14"/>
      <c r="M52" s="14"/>
    </row>
    <row r="53" spans="1:13" ht="23.85" customHeight="1" x14ac:dyDescent="0.25">
      <c r="A53" s="6" t="s">
        <v>655</v>
      </c>
      <c r="B53" s="8">
        <v>4</v>
      </c>
      <c r="C53" s="7" t="s">
        <v>656</v>
      </c>
      <c r="D53" s="7" t="s">
        <v>510</v>
      </c>
      <c r="E53" s="7" t="s">
        <v>657</v>
      </c>
      <c r="F53" s="7" t="s">
        <v>658</v>
      </c>
      <c r="G53" s="8" t="s">
        <v>434</v>
      </c>
      <c r="H53" s="8" t="s">
        <v>20</v>
      </c>
      <c r="I53" s="7" t="s">
        <v>502</v>
      </c>
      <c r="J53" s="12" t="s">
        <v>436</v>
      </c>
      <c r="K53" s="13"/>
      <c r="L53" s="14"/>
      <c r="M53" s="14"/>
    </row>
    <row r="54" spans="1:13" ht="15" customHeight="1" x14ac:dyDescent="0.25">
      <c r="A54" s="6" t="s">
        <v>659</v>
      </c>
      <c r="B54" s="8">
        <v>4</v>
      </c>
      <c r="C54" s="7" t="s">
        <v>660</v>
      </c>
      <c r="D54" s="7" t="s">
        <v>474</v>
      </c>
      <c r="E54" s="7" t="s">
        <v>661</v>
      </c>
      <c r="F54" s="7" t="s">
        <v>662</v>
      </c>
      <c r="G54" s="8" t="s">
        <v>434</v>
      </c>
      <c r="H54" s="8" t="s">
        <v>20</v>
      </c>
      <c r="I54" s="7" t="s">
        <v>435</v>
      </c>
      <c r="J54" s="12" t="s">
        <v>436</v>
      </c>
      <c r="K54" s="13"/>
      <c r="L54" s="14"/>
      <c r="M54" s="14"/>
    </row>
    <row r="55" spans="1:13" ht="15" customHeight="1" x14ac:dyDescent="0.25">
      <c r="A55" s="6" t="s">
        <v>663</v>
      </c>
      <c r="B55" s="8">
        <v>4</v>
      </c>
      <c r="C55" s="7" t="s">
        <v>664</v>
      </c>
      <c r="D55" s="7" t="s">
        <v>567</v>
      </c>
      <c r="E55" s="7" t="s">
        <v>665</v>
      </c>
      <c r="F55" s="7" t="s">
        <v>666</v>
      </c>
      <c r="G55" s="8" t="s">
        <v>434</v>
      </c>
      <c r="H55" s="8" t="s">
        <v>20</v>
      </c>
      <c r="I55" s="7" t="s">
        <v>435</v>
      </c>
      <c r="J55" s="12" t="s">
        <v>436</v>
      </c>
      <c r="K55" s="13"/>
      <c r="L55" s="14"/>
      <c r="M55" s="14"/>
    </row>
    <row r="56" spans="1:13" ht="23.85" customHeight="1" x14ac:dyDescent="0.25">
      <c r="A56" s="6" t="s">
        <v>667</v>
      </c>
      <c r="B56" s="8">
        <v>4</v>
      </c>
      <c r="C56" s="7" t="s">
        <v>668</v>
      </c>
      <c r="D56" s="7" t="s">
        <v>628</v>
      </c>
      <c r="E56" s="7" t="s">
        <v>669</v>
      </c>
      <c r="F56" s="7" t="s">
        <v>670</v>
      </c>
      <c r="G56" s="8" t="s">
        <v>434</v>
      </c>
      <c r="H56" s="8" t="s">
        <v>492</v>
      </c>
      <c r="I56" s="7" t="s">
        <v>493</v>
      </c>
      <c r="J56" s="12" t="s">
        <v>436</v>
      </c>
      <c r="K56" s="13"/>
      <c r="L56" s="14"/>
      <c r="M56" s="14"/>
    </row>
    <row r="57" spans="1:13" ht="23.85" customHeight="1" x14ac:dyDescent="0.25">
      <c r="A57" s="6" t="s">
        <v>671</v>
      </c>
      <c r="B57" s="8">
        <v>4</v>
      </c>
      <c r="C57" s="7" t="s">
        <v>672</v>
      </c>
      <c r="D57" s="7" t="s">
        <v>456</v>
      </c>
      <c r="E57" s="7" t="s">
        <v>673</v>
      </c>
      <c r="F57" s="7" t="s">
        <v>674</v>
      </c>
      <c r="G57" s="8" t="s">
        <v>434</v>
      </c>
      <c r="H57" s="8" t="s">
        <v>14</v>
      </c>
      <c r="I57" s="7" t="s">
        <v>456</v>
      </c>
      <c r="J57" s="12" t="s">
        <v>436</v>
      </c>
      <c r="K57" s="13"/>
      <c r="L57" s="14"/>
      <c r="M57" s="14"/>
    </row>
    <row r="58" spans="1:13" ht="23.85" customHeight="1" x14ac:dyDescent="0.25">
      <c r="A58" s="6" t="s">
        <v>675</v>
      </c>
      <c r="B58" s="8">
        <v>4</v>
      </c>
      <c r="C58" s="7" t="s">
        <v>676</v>
      </c>
      <c r="D58" s="7" t="s">
        <v>567</v>
      </c>
      <c r="E58" s="7" t="s">
        <v>677</v>
      </c>
      <c r="F58" s="7" t="s">
        <v>678</v>
      </c>
      <c r="G58" s="8" t="s">
        <v>434</v>
      </c>
      <c r="H58" s="8" t="s">
        <v>20</v>
      </c>
      <c r="I58" s="7" t="s">
        <v>435</v>
      </c>
      <c r="J58" s="12" t="s">
        <v>436</v>
      </c>
      <c r="K58" s="13"/>
      <c r="L58" s="14"/>
      <c r="M58" s="14" t="s">
        <v>679</v>
      </c>
    </row>
    <row r="59" spans="1:13" ht="23.85" customHeight="1" x14ac:dyDescent="0.25">
      <c r="A59" s="6" t="s">
        <v>680</v>
      </c>
      <c r="B59" s="8">
        <v>4</v>
      </c>
      <c r="C59" s="7" t="s">
        <v>681</v>
      </c>
      <c r="D59" s="7" t="s">
        <v>510</v>
      </c>
      <c r="E59" s="7" t="s">
        <v>682</v>
      </c>
      <c r="F59" s="7" t="s">
        <v>683</v>
      </c>
      <c r="G59" s="8" t="s">
        <v>434</v>
      </c>
      <c r="H59" s="8" t="s">
        <v>14</v>
      </c>
      <c r="I59" s="7" t="s">
        <v>456</v>
      </c>
      <c r="J59" s="12" t="s">
        <v>436</v>
      </c>
      <c r="K59" s="13"/>
      <c r="L59" s="14"/>
      <c r="M59" s="14" t="s">
        <v>679</v>
      </c>
    </row>
    <row r="60" spans="1:13" ht="23.85" customHeight="1" x14ac:dyDescent="0.25">
      <c r="A60" s="6" t="s">
        <v>684</v>
      </c>
      <c r="B60" s="8">
        <v>4</v>
      </c>
      <c r="C60" s="7" t="s">
        <v>685</v>
      </c>
      <c r="D60" s="7" t="s">
        <v>489</v>
      </c>
      <c r="E60" s="7" t="s">
        <v>686</v>
      </c>
      <c r="F60" s="7" t="s">
        <v>687</v>
      </c>
      <c r="G60" s="8" t="s">
        <v>434</v>
      </c>
      <c r="H60" s="8" t="s">
        <v>20</v>
      </c>
      <c r="I60" s="7" t="s">
        <v>435</v>
      </c>
      <c r="J60" s="12" t="s">
        <v>436</v>
      </c>
      <c r="K60" s="13"/>
      <c r="L60" s="14"/>
      <c r="M60" s="14" t="s">
        <v>688</v>
      </c>
    </row>
    <row r="61" spans="1:13" ht="23.85" customHeight="1" x14ac:dyDescent="0.25">
      <c r="A61" s="6" t="s">
        <v>689</v>
      </c>
      <c r="B61" s="8">
        <v>5</v>
      </c>
      <c r="C61" s="7" t="s">
        <v>690</v>
      </c>
      <c r="D61" s="7" t="s">
        <v>474</v>
      </c>
      <c r="E61" s="7" t="s">
        <v>691</v>
      </c>
      <c r="F61" s="7" t="s">
        <v>692</v>
      </c>
      <c r="G61" s="8" t="s">
        <v>434</v>
      </c>
      <c r="H61" s="8" t="s">
        <v>20</v>
      </c>
      <c r="I61" s="7" t="s">
        <v>526</v>
      </c>
      <c r="J61" s="12" t="s">
        <v>436</v>
      </c>
      <c r="K61" s="13"/>
      <c r="L61" s="14"/>
      <c r="M61" s="14"/>
    </row>
    <row r="62" spans="1:13" ht="23.85" customHeight="1" x14ac:dyDescent="0.25">
      <c r="A62" s="6" t="s">
        <v>693</v>
      </c>
      <c r="B62" s="8">
        <v>5</v>
      </c>
      <c r="C62" s="7" t="s">
        <v>694</v>
      </c>
      <c r="D62" s="7" t="s">
        <v>489</v>
      </c>
      <c r="E62" s="7" t="s">
        <v>695</v>
      </c>
      <c r="F62" s="7" t="s">
        <v>696</v>
      </c>
      <c r="G62" s="8" t="s">
        <v>434</v>
      </c>
      <c r="H62" s="8" t="s">
        <v>20</v>
      </c>
      <c r="I62" s="7" t="s">
        <v>435</v>
      </c>
      <c r="J62" s="12" t="s">
        <v>436</v>
      </c>
      <c r="K62" s="13"/>
      <c r="L62" s="14"/>
      <c r="M62" s="14"/>
    </row>
    <row r="63" spans="1:13" ht="23.85" customHeight="1" x14ac:dyDescent="0.25">
      <c r="A63" s="6" t="s">
        <v>697</v>
      </c>
      <c r="B63" s="8">
        <v>5</v>
      </c>
      <c r="C63" s="7" t="s">
        <v>698</v>
      </c>
      <c r="D63" s="7" t="s">
        <v>480</v>
      </c>
      <c r="E63" s="7" t="s">
        <v>699</v>
      </c>
      <c r="F63" s="7" t="s">
        <v>700</v>
      </c>
      <c r="G63" s="8" t="s">
        <v>434</v>
      </c>
      <c r="H63" s="8" t="s">
        <v>20</v>
      </c>
      <c r="I63" s="7" t="s">
        <v>435</v>
      </c>
      <c r="J63" s="12" t="s">
        <v>436</v>
      </c>
      <c r="K63" s="13"/>
      <c r="L63" s="14"/>
      <c r="M63" s="14"/>
    </row>
    <row r="64" spans="1:13" ht="35.1" customHeight="1" x14ac:dyDescent="0.25">
      <c r="A64" s="6" t="s">
        <v>701</v>
      </c>
      <c r="B64" s="8">
        <v>5</v>
      </c>
      <c r="C64" s="7" t="s">
        <v>702</v>
      </c>
      <c r="D64" s="7" t="s">
        <v>489</v>
      </c>
      <c r="E64" s="7" t="s">
        <v>703</v>
      </c>
      <c r="F64" s="7" t="s">
        <v>704</v>
      </c>
      <c r="G64" s="8" t="s">
        <v>434</v>
      </c>
      <c r="H64" s="8" t="s">
        <v>20</v>
      </c>
      <c r="I64" s="7" t="s">
        <v>435</v>
      </c>
      <c r="J64" s="12" t="s">
        <v>436</v>
      </c>
      <c r="K64" s="13"/>
      <c r="L64" s="14"/>
      <c r="M64" s="14"/>
    </row>
    <row r="65" spans="1:13" ht="15" customHeight="1" x14ac:dyDescent="0.25">
      <c r="A65" s="6" t="s">
        <v>705</v>
      </c>
      <c r="B65" s="8">
        <v>5</v>
      </c>
      <c r="C65" s="7" t="s">
        <v>706</v>
      </c>
      <c r="D65" s="7" t="s">
        <v>489</v>
      </c>
      <c r="E65" s="7" t="s">
        <v>707</v>
      </c>
      <c r="F65" s="7" t="s">
        <v>708</v>
      </c>
      <c r="G65" s="8" t="s">
        <v>434</v>
      </c>
      <c r="H65" s="8" t="s">
        <v>20</v>
      </c>
      <c r="I65" s="7" t="s">
        <v>435</v>
      </c>
      <c r="J65" s="12" t="s">
        <v>436</v>
      </c>
      <c r="K65" s="13"/>
      <c r="L65" s="14"/>
      <c r="M65" s="14"/>
    </row>
    <row r="66" spans="1:13" ht="23.85" customHeight="1" x14ac:dyDescent="0.25">
      <c r="A66" s="6" t="s">
        <v>709</v>
      </c>
      <c r="B66" s="8">
        <v>5</v>
      </c>
      <c r="C66" s="7" t="s">
        <v>710</v>
      </c>
      <c r="D66" s="7" t="s">
        <v>489</v>
      </c>
      <c r="E66" s="7" t="s">
        <v>711</v>
      </c>
      <c r="F66" s="7" t="s">
        <v>712</v>
      </c>
      <c r="G66" s="8" t="s">
        <v>434</v>
      </c>
      <c r="H66" s="8" t="s">
        <v>20</v>
      </c>
      <c r="I66" s="7" t="s">
        <v>435</v>
      </c>
      <c r="J66" s="12" t="s">
        <v>436</v>
      </c>
      <c r="K66" s="13"/>
      <c r="L66" s="14"/>
      <c r="M66" s="14"/>
    </row>
    <row r="67" spans="1:13" ht="15" customHeight="1" x14ac:dyDescent="0.25">
      <c r="A67" s="6" t="s">
        <v>713</v>
      </c>
      <c r="B67" s="8">
        <v>5</v>
      </c>
      <c r="C67" s="7" t="s">
        <v>714</v>
      </c>
      <c r="D67" s="7" t="s">
        <v>715</v>
      </c>
      <c r="E67" s="7" t="s">
        <v>716</v>
      </c>
      <c r="F67" s="7" t="s">
        <v>717</v>
      </c>
      <c r="G67" s="8" t="s">
        <v>434</v>
      </c>
      <c r="H67" s="8" t="s">
        <v>492</v>
      </c>
      <c r="I67" s="7" t="s">
        <v>718</v>
      </c>
      <c r="J67" s="12" t="s">
        <v>436</v>
      </c>
      <c r="K67" s="13"/>
      <c r="L67" s="14"/>
      <c r="M67" s="14"/>
    </row>
    <row r="68" spans="1:13" ht="15" customHeight="1" x14ac:dyDescent="0.25">
      <c r="A68" s="6" t="s">
        <v>719</v>
      </c>
      <c r="B68" s="8">
        <v>5</v>
      </c>
      <c r="C68" s="7" t="s">
        <v>720</v>
      </c>
      <c r="D68" s="7" t="s">
        <v>567</v>
      </c>
      <c r="E68" s="7" t="s">
        <v>721</v>
      </c>
      <c r="F68" s="7" t="s">
        <v>722</v>
      </c>
      <c r="G68" s="8" t="s">
        <v>434</v>
      </c>
      <c r="H68" s="8" t="s">
        <v>20</v>
      </c>
      <c r="I68" s="7" t="s">
        <v>435</v>
      </c>
      <c r="J68" s="12" t="s">
        <v>436</v>
      </c>
      <c r="K68" s="13"/>
      <c r="L68" s="14"/>
      <c r="M68" s="14"/>
    </row>
    <row r="69" spans="1:13" ht="23.85" customHeight="1" x14ac:dyDescent="0.25">
      <c r="A69" s="6" t="s">
        <v>723</v>
      </c>
      <c r="B69" s="8">
        <v>6</v>
      </c>
      <c r="C69" s="7" t="s">
        <v>724</v>
      </c>
      <c r="D69" s="7" t="s">
        <v>480</v>
      </c>
      <c r="E69" s="7" t="s">
        <v>725</v>
      </c>
      <c r="F69" s="7" t="s">
        <v>726</v>
      </c>
      <c r="G69" s="8" t="s">
        <v>434</v>
      </c>
      <c r="H69" s="8" t="s">
        <v>20</v>
      </c>
      <c r="I69" s="7" t="s">
        <v>502</v>
      </c>
      <c r="J69" s="12" t="s">
        <v>436</v>
      </c>
      <c r="K69" s="13"/>
      <c r="L69" s="14"/>
      <c r="M69" s="14"/>
    </row>
    <row r="70" spans="1:13" ht="23.85" customHeight="1" x14ac:dyDescent="0.25">
      <c r="A70" s="6" t="s">
        <v>727</v>
      </c>
      <c r="B70" s="8">
        <v>6</v>
      </c>
      <c r="C70" s="7" t="s">
        <v>728</v>
      </c>
      <c r="D70" s="7" t="s">
        <v>480</v>
      </c>
      <c r="E70" s="7" t="s">
        <v>729</v>
      </c>
      <c r="F70" s="7" t="s">
        <v>730</v>
      </c>
      <c r="G70" s="8" t="s">
        <v>434</v>
      </c>
      <c r="H70" s="8" t="s">
        <v>20</v>
      </c>
      <c r="I70" s="7" t="s">
        <v>435</v>
      </c>
      <c r="J70" s="12" t="s">
        <v>436</v>
      </c>
      <c r="K70" s="13"/>
      <c r="L70" s="14"/>
      <c r="M70" s="14"/>
    </row>
    <row r="71" spans="1:13" ht="23.85" customHeight="1" x14ac:dyDescent="0.25">
      <c r="A71" s="6" t="s">
        <v>731</v>
      </c>
      <c r="B71" s="8">
        <v>6</v>
      </c>
      <c r="C71" s="7" t="s">
        <v>732</v>
      </c>
      <c r="D71" s="7" t="s">
        <v>474</v>
      </c>
      <c r="E71" s="7" t="s">
        <v>733</v>
      </c>
      <c r="F71" s="7" t="s">
        <v>734</v>
      </c>
      <c r="G71" s="8" t="s">
        <v>434</v>
      </c>
      <c r="H71" s="8" t="s">
        <v>20</v>
      </c>
      <c r="I71" s="7" t="s">
        <v>435</v>
      </c>
      <c r="J71" s="12" t="s">
        <v>436</v>
      </c>
      <c r="K71" s="13"/>
      <c r="L71" s="14"/>
      <c r="M71" s="14"/>
    </row>
    <row r="72" spans="1:13" ht="23.85" customHeight="1" x14ac:dyDescent="0.25">
      <c r="A72" s="6" t="s">
        <v>735</v>
      </c>
      <c r="B72" s="8">
        <v>6</v>
      </c>
      <c r="C72" s="7" t="s">
        <v>736</v>
      </c>
      <c r="D72" s="7" t="s">
        <v>489</v>
      </c>
      <c r="E72" s="7" t="s">
        <v>737</v>
      </c>
      <c r="F72" s="7" t="s">
        <v>738</v>
      </c>
      <c r="G72" s="8" t="s">
        <v>434</v>
      </c>
      <c r="H72" s="8" t="s">
        <v>20</v>
      </c>
      <c r="I72" s="7" t="s">
        <v>502</v>
      </c>
      <c r="J72" s="12" t="s">
        <v>436</v>
      </c>
      <c r="K72" s="13"/>
      <c r="L72" s="14"/>
      <c r="M72" s="14"/>
    </row>
    <row r="73" spans="1:13" ht="23.85" customHeight="1" x14ac:dyDescent="0.25">
      <c r="A73" s="6" t="s">
        <v>739</v>
      </c>
      <c r="B73" s="8">
        <v>6</v>
      </c>
      <c r="C73" s="7" t="s">
        <v>740</v>
      </c>
      <c r="D73" s="7" t="s">
        <v>489</v>
      </c>
      <c r="E73" s="7" t="s">
        <v>741</v>
      </c>
      <c r="F73" s="7" t="s">
        <v>742</v>
      </c>
      <c r="G73" s="8" t="s">
        <v>434</v>
      </c>
      <c r="H73" s="8" t="s">
        <v>20</v>
      </c>
      <c r="I73" s="7" t="s">
        <v>435</v>
      </c>
      <c r="J73" s="12" t="s">
        <v>436</v>
      </c>
      <c r="K73" s="13"/>
      <c r="L73" s="14"/>
      <c r="M73" s="14"/>
    </row>
    <row r="74" spans="1:13" ht="23.85" customHeight="1" x14ac:dyDescent="0.25">
      <c r="A74" s="6" t="s">
        <v>743</v>
      </c>
      <c r="B74" s="8">
        <v>6</v>
      </c>
      <c r="C74" s="7" t="s">
        <v>744</v>
      </c>
      <c r="D74" s="7" t="s">
        <v>542</v>
      </c>
      <c r="E74" s="7" t="s">
        <v>745</v>
      </c>
      <c r="F74" s="7" t="s">
        <v>746</v>
      </c>
      <c r="G74" s="8" t="s">
        <v>434</v>
      </c>
      <c r="H74" s="8" t="s">
        <v>20</v>
      </c>
      <c r="I74" s="7" t="s">
        <v>435</v>
      </c>
      <c r="J74" s="12" t="s">
        <v>436</v>
      </c>
      <c r="K74" s="13"/>
      <c r="L74" s="14"/>
      <c r="M74" s="14"/>
    </row>
    <row r="75" spans="1:13" ht="23.85" customHeight="1" x14ac:dyDescent="0.25">
      <c r="A75" s="6" t="s">
        <v>747</v>
      </c>
      <c r="B75" s="8">
        <v>6</v>
      </c>
      <c r="C75" s="7" t="s">
        <v>748</v>
      </c>
      <c r="D75" s="7" t="s">
        <v>489</v>
      </c>
      <c r="E75" s="7" t="s">
        <v>749</v>
      </c>
      <c r="F75" s="7" t="s">
        <v>750</v>
      </c>
      <c r="G75" s="8" t="s">
        <v>434</v>
      </c>
      <c r="H75" s="8" t="s">
        <v>20</v>
      </c>
      <c r="I75" s="7" t="s">
        <v>435</v>
      </c>
      <c r="J75" s="12" t="s">
        <v>436</v>
      </c>
      <c r="K75" s="13"/>
      <c r="L75" s="14"/>
      <c r="M75" s="14"/>
    </row>
    <row r="76" spans="1:13" ht="15" customHeight="1" x14ac:dyDescent="0.25">
      <c r="A76" s="6" t="s">
        <v>751</v>
      </c>
      <c r="B76" s="8">
        <v>6</v>
      </c>
      <c r="C76" s="7" t="s">
        <v>752</v>
      </c>
      <c r="D76" s="7" t="s">
        <v>580</v>
      </c>
      <c r="E76" s="7" t="s">
        <v>753</v>
      </c>
      <c r="F76" s="7" t="s">
        <v>754</v>
      </c>
      <c r="G76" s="8" t="s">
        <v>434</v>
      </c>
      <c r="H76" s="8" t="s">
        <v>20</v>
      </c>
      <c r="I76" s="7" t="s">
        <v>502</v>
      </c>
      <c r="J76" s="12" t="s">
        <v>436</v>
      </c>
      <c r="K76" s="13"/>
      <c r="L76" s="14"/>
      <c r="M76" s="14"/>
    </row>
    <row r="77" spans="1:13" ht="23.85" customHeight="1" x14ac:dyDescent="0.25">
      <c r="A77" s="6" t="s">
        <v>755</v>
      </c>
      <c r="B77" s="8">
        <v>7</v>
      </c>
      <c r="C77" s="7" t="s">
        <v>756</v>
      </c>
      <c r="D77" s="7" t="s">
        <v>580</v>
      </c>
      <c r="E77" s="7" t="s">
        <v>757</v>
      </c>
      <c r="F77" s="7" t="s">
        <v>758</v>
      </c>
      <c r="G77" s="8" t="s">
        <v>434</v>
      </c>
      <c r="H77" s="8" t="s">
        <v>20</v>
      </c>
      <c r="I77" s="7" t="s">
        <v>502</v>
      </c>
      <c r="J77" s="12" t="s">
        <v>436</v>
      </c>
      <c r="K77" s="13"/>
      <c r="L77" s="14"/>
      <c r="M77" s="14"/>
    </row>
    <row r="78" spans="1:13" ht="15" customHeight="1" x14ac:dyDescent="0.25">
      <c r="A78" s="6" t="s">
        <v>759</v>
      </c>
      <c r="B78" s="8">
        <v>7</v>
      </c>
      <c r="C78" s="7" t="s">
        <v>760</v>
      </c>
      <c r="D78" s="7" t="s">
        <v>761</v>
      </c>
      <c r="E78" s="7" t="s">
        <v>762</v>
      </c>
      <c r="F78" s="7" t="s">
        <v>763</v>
      </c>
      <c r="G78" s="8" t="s">
        <v>434</v>
      </c>
      <c r="H78" s="8" t="s">
        <v>20</v>
      </c>
      <c r="I78" s="7" t="s">
        <v>764</v>
      </c>
      <c r="J78" s="12" t="s">
        <v>436</v>
      </c>
      <c r="K78" s="13"/>
      <c r="L78" s="14"/>
      <c r="M78" s="14"/>
    </row>
    <row r="79" spans="1:13" ht="23.85" customHeight="1" x14ac:dyDescent="0.25">
      <c r="A79" s="6" t="s">
        <v>765</v>
      </c>
      <c r="B79" s="8">
        <v>7</v>
      </c>
      <c r="C79" s="7" t="s">
        <v>766</v>
      </c>
      <c r="D79" s="7" t="s">
        <v>489</v>
      </c>
      <c r="E79" s="7" t="s">
        <v>767</v>
      </c>
      <c r="F79" s="7" t="s">
        <v>768</v>
      </c>
      <c r="G79" s="8" t="s">
        <v>434</v>
      </c>
      <c r="H79" s="8" t="s">
        <v>20</v>
      </c>
      <c r="I79" s="7" t="s">
        <v>769</v>
      </c>
      <c r="J79" s="12" t="s">
        <v>436</v>
      </c>
      <c r="K79" s="13"/>
      <c r="L79" s="14"/>
      <c r="M79" s="14"/>
    </row>
    <row r="80" spans="1:13" ht="23.85" customHeight="1" x14ac:dyDescent="0.25">
      <c r="A80" s="6" t="s">
        <v>770</v>
      </c>
      <c r="B80" s="8">
        <v>7</v>
      </c>
      <c r="C80" s="7" t="s">
        <v>771</v>
      </c>
      <c r="D80" s="7" t="s">
        <v>456</v>
      </c>
      <c r="E80" s="7" t="s">
        <v>772</v>
      </c>
      <c r="F80" s="7" t="s">
        <v>773</v>
      </c>
      <c r="G80" s="8" t="s">
        <v>434</v>
      </c>
      <c r="H80" s="8" t="s">
        <v>14</v>
      </c>
      <c r="I80" s="7" t="s">
        <v>769</v>
      </c>
      <c r="J80" s="12" t="s">
        <v>436</v>
      </c>
      <c r="K80" s="13"/>
      <c r="L80" s="14"/>
      <c r="M80" s="14"/>
    </row>
    <row r="81" spans="1:13" ht="15" customHeight="1" x14ac:dyDescent="0.25">
      <c r="A81" s="6" t="s">
        <v>774</v>
      </c>
      <c r="B81" s="8">
        <v>7</v>
      </c>
      <c r="C81" s="7" t="s">
        <v>775</v>
      </c>
      <c r="D81" s="7" t="s">
        <v>489</v>
      </c>
      <c r="E81" s="7" t="s">
        <v>776</v>
      </c>
      <c r="F81" s="7" t="s">
        <v>777</v>
      </c>
      <c r="G81" s="8" t="s">
        <v>434</v>
      </c>
      <c r="H81" s="8" t="s">
        <v>20</v>
      </c>
      <c r="I81" s="7" t="s">
        <v>769</v>
      </c>
      <c r="J81" s="12" t="s">
        <v>436</v>
      </c>
      <c r="K81" s="13"/>
      <c r="L81" s="14"/>
      <c r="M81" s="14"/>
    </row>
    <row r="82" spans="1:13" ht="23.85" customHeight="1" x14ac:dyDescent="0.25">
      <c r="A82" s="6" t="s">
        <v>778</v>
      </c>
      <c r="B82" s="8">
        <v>7</v>
      </c>
      <c r="C82" s="7" t="s">
        <v>779</v>
      </c>
      <c r="D82" s="7" t="s">
        <v>456</v>
      </c>
      <c r="E82" s="7" t="s">
        <v>780</v>
      </c>
      <c r="F82" s="7" t="s">
        <v>781</v>
      </c>
      <c r="G82" s="8" t="s">
        <v>434</v>
      </c>
      <c r="H82" s="8" t="s">
        <v>14</v>
      </c>
      <c r="I82" s="7" t="s">
        <v>769</v>
      </c>
      <c r="J82" s="12" t="s">
        <v>436</v>
      </c>
      <c r="K82" s="13"/>
      <c r="L82" s="14"/>
      <c r="M82" s="14"/>
    </row>
    <row r="83" spans="1:13" ht="15" customHeight="1" x14ac:dyDescent="0.25">
      <c r="A83" s="6" t="s">
        <v>782</v>
      </c>
      <c r="B83" s="8">
        <v>7</v>
      </c>
      <c r="C83" s="7" t="s">
        <v>783</v>
      </c>
      <c r="D83" s="7" t="s">
        <v>628</v>
      </c>
      <c r="E83" s="7" t="s">
        <v>784</v>
      </c>
      <c r="F83" s="7" t="s">
        <v>785</v>
      </c>
      <c r="G83" s="8" t="s">
        <v>434</v>
      </c>
      <c r="H83" s="8" t="s">
        <v>492</v>
      </c>
      <c r="I83" s="7" t="s">
        <v>769</v>
      </c>
      <c r="J83" s="12" t="s">
        <v>436</v>
      </c>
      <c r="K83" s="13"/>
      <c r="L83" s="14"/>
      <c r="M83" s="14"/>
    </row>
    <row r="84" spans="1:13" ht="25.5" customHeight="1" x14ac:dyDescent="0.25">
      <c r="A84" s="6" t="s">
        <v>786</v>
      </c>
      <c r="B84" s="8">
        <v>7</v>
      </c>
      <c r="C84" s="7" t="s">
        <v>787</v>
      </c>
      <c r="D84" s="7" t="s">
        <v>510</v>
      </c>
      <c r="E84" s="7" t="s">
        <v>788</v>
      </c>
      <c r="F84" s="7" t="s">
        <v>789</v>
      </c>
      <c r="G84" s="8" t="s">
        <v>434</v>
      </c>
      <c r="H84" s="8" t="s">
        <v>20</v>
      </c>
      <c r="I84" s="7" t="s">
        <v>769</v>
      </c>
      <c r="J84" s="12" t="s">
        <v>436</v>
      </c>
      <c r="K84" s="13"/>
      <c r="L84" s="14"/>
      <c r="M84" s="14"/>
    </row>
    <row r="85" spans="1:13" ht="25.5" x14ac:dyDescent="0.25">
      <c r="A85" s="6" t="s">
        <v>790</v>
      </c>
      <c r="B85" s="8">
        <v>7</v>
      </c>
      <c r="C85" s="7" t="s">
        <v>791</v>
      </c>
      <c r="D85" s="7" t="s">
        <v>792</v>
      </c>
      <c r="E85" s="7" t="s">
        <v>793</v>
      </c>
      <c r="F85" s="7" t="s">
        <v>794</v>
      </c>
      <c r="G85" s="8" t="s">
        <v>434</v>
      </c>
      <c r="H85" s="8" t="s">
        <v>20</v>
      </c>
      <c r="I85" s="7" t="s">
        <v>795</v>
      </c>
      <c r="J85" s="12" t="s">
        <v>436</v>
      </c>
      <c r="K85" s="13"/>
      <c r="L85" s="14"/>
      <c r="M85" s="14"/>
    </row>
    <row r="86" spans="1:13" x14ac:dyDescent="0.25">
      <c r="A86" s="6" t="s">
        <v>796</v>
      </c>
      <c r="B86" s="8">
        <v>7</v>
      </c>
      <c r="C86" s="7" t="s">
        <v>797</v>
      </c>
      <c r="D86" s="7" t="s">
        <v>456</v>
      </c>
      <c r="E86" s="7" t="s">
        <v>798</v>
      </c>
      <c r="F86" s="7" t="s">
        <v>799</v>
      </c>
      <c r="G86" s="8" t="s">
        <v>434</v>
      </c>
      <c r="H86" s="8" t="s">
        <v>14</v>
      </c>
      <c r="I86" s="7" t="s">
        <v>769</v>
      </c>
      <c r="J86" s="12" t="s">
        <v>436</v>
      </c>
      <c r="K86" s="13"/>
      <c r="L86" s="14"/>
      <c r="M86" s="14"/>
    </row>
  </sheetData>
  <autoFilter ref="A1:M86" xr:uid="{00000000-0009-0000-0000-000003000000}"/>
  <conditionalFormatting sqref="J2:J86">
    <cfRule type="cellIs" dxfId="1" priority="2" operator="equal">
      <formula>"Pass"</formula>
    </cfRule>
    <cfRule type="cellIs" dxfId="0" priority="3" operator="equal">
      <formula>"Fail"</formula>
    </cfRule>
  </conditionalFormatting>
  <dataValidations count="2">
    <dataValidation type="list" error="Choose Not run, Pass or Fail" sqref="J2:J86" xr:uid="{00000000-0002-0000-0300-000000000000}">
      <formula1>"Not run,Pass,Fail"</formula1>
      <formula2>0</formula2>
    </dataValidation>
    <dataValidation type="date" operator="greaterThan" allowBlank="1" sqref="K2:K86" xr:uid="{00000000-0002-0000-0300-000001000000}">
      <formula1>DATE(2026,1,1)</formula1>
      <formula2>0</formula2>
    </dataValidation>
  </dataValidation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9"/>
  <sheetViews>
    <sheetView zoomScaleNormal="100" workbookViewId="0">
      <pane ySplit="1" topLeftCell="A2" activePane="bottomLeft" state="frozen"/>
      <selection pane="bottomLeft"/>
    </sheetView>
  </sheetViews>
  <sheetFormatPr defaultColWidth="8.7109375" defaultRowHeight="15" x14ac:dyDescent="0.25"/>
  <cols>
    <col min="1" max="1" width="28" customWidth="1"/>
    <col min="2" max="2" width="16" customWidth="1"/>
    <col min="3" max="3" width="30" customWidth="1"/>
    <col min="4" max="4" width="32" customWidth="1"/>
    <col min="5" max="5" width="42" customWidth="1"/>
    <col min="6" max="6" width="24" customWidth="1"/>
    <col min="7" max="8" width="16" customWidth="1"/>
    <col min="9" max="9" width="11" customWidth="1"/>
  </cols>
  <sheetData>
    <row r="1" spans="1:9" ht="31.5" customHeight="1" x14ac:dyDescent="0.25">
      <c r="A1" s="4" t="s">
        <v>800</v>
      </c>
      <c r="B1" s="4" t="s">
        <v>801</v>
      </c>
      <c r="C1" s="4" t="s">
        <v>802</v>
      </c>
      <c r="D1" s="4" t="s">
        <v>803</v>
      </c>
      <c r="E1" s="4" t="s">
        <v>804</v>
      </c>
      <c r="F1" s="4" t="s">
        <v>805</v>
      </c>
      <c r="G1" s="4" t="s">
        <v>422</v>
      </c>
      <c r="H1" s="4" t="s">
        <v>806</v>
      </c>
      <c r="I1" s="4" t="s">
        <v>807</v>
      </c>
    </row>
    <row r="2" spans="1:9" ht="15" customHeight="1" x14ac:dyDescent="0.25">
      <c r="A2" s="6" t="s">
        <v>808</v>
      </c>
      <c r="B2" s="7" t="s">
        <v>431</v>
      </c>
      <c r="C2" s="7" t="s">
        <v>809</v>
      </c>
      <c r="D2" s="7" t="s">
        <v>810</v>
      </c>
      <c r="E2" s="7" t="s">
        <v>811</v>
      </c>
      <c r="F2" s="7" t="s">
        <v>812</v>
      </c>
      <c r="G2" s="8" t="s">
        <v>434</v>
      </c>
      <c r="H2" s="8" t="s">
        <v>20</v>
      </c>
      <c r="I2" s="8">
        <v>0</v>
      </c>
    </row>
    <row r="3" spans="1:9" ht="15" customHeight="1" x14ac:dyDescent="0.25">
      <c r="A3" s="6" t="s">
        <v>813</v>
      </c>
      <c r="B3" s="7" t="s">
        <v>431</v>
      </c>
      <c r="C3" s="7" t="s">
        <v>814</v>
      </c>
      <c r="D3" s="7" t="s">
        <v>815</v>
      </c>
      <c r="E3" s="7" t="s">
        <v>816</v>
      </c>
      <c r="F3" s="7" t="s">
        <v>435</v>
      </c>
      <c r="G3" s="8" t="s">
        <v>434</v>
      </c>
      <c r="H3" s="8" t="s">
        <v>20</v>
      </c>
      <c r="I3" s="8">
        <v>0</v>
      </c>
    </row>
    <row r="4" spans="1:9" ht="23.85" customHeight="1" x14ac:dyDescent="0.25">
      <c r="A4" s="6" t="s">
        <v>817</v>
      </c>
      <c r="B4" s="7" t="s">
        <v>431</v>
      </c>
      <c r="C4" s="7" t="s">
        <v>818</v>
      </c>
      <c r="D4" s="7" t="s">
        <v>819</v>
      </c>
      <c r="E4" s="7" t="s">
        <v>820</v>
      </c>
      <c r="F4" s="7" t="s">
        <v>821</v>
      </c>
      <c r="G4" s="8" t="s">
        <v>434</v>
      </c>
      <c r="H4" s="8" t="s">
        <v>20</v>
      </c>
      <c r="I4" s="8">
        <v>0</v>
      </c>
    </row>
    <row r="5" spans="1:9" ht="23.85" customHeight="1" x14ac:dyDescent="0.25">
      <c r="A5" s="6" t="s">
        <v>822</v>
      </c>
      <c r="B5" s="7" t="s">
        <v>567</v>
      </c>
      <c r="C5" s="7" t="s">
        <v>823</v>
      </c>
      <c r="D5" s="7" t="s">
        <v>824</v>
      </c>
      <c r="E5" s="7" t="s">
        <v>825</v>
      </c>
      <c r="F5" s="7" t="s">
        <v>435</v>
      </c>
      <c r="G5" s="8" t="s">
        <v>434</v>
      </c>
      <c r="H5" s="8" t="s">
        <v>20</v>
      </c>
      <c r="I5" s="8">
        <v>0</v>
      </c>
    </row>
    <row r="6" spans="1:9" ht="15" customHeight="1" x14ac:dyDescent="0.25">
      <c r="A6" s="6" t="s">
        <v>826</v>
      </c>
      <c r="B6" s="7" t="s">
        <v>827</v>
      </c>
      <c r="C6" s="7" t="s">
        <v>828</v>
      </c>
      <c r="D6" s="7" t="s">
        <v>829</v>
      </c>
      <c r="E6" s="7" t="s">
        <v>830</v>
      </c>
      <c r="F6" s="7" t="s">
        <v>435</v>
      </c>
      <c r="G6" s="8" t="s">
        <v>434</v>
      </c>
      <c r="H6" s="8" t="s">
        <v>20</v>
      </c>
      <c r="I6" s="8">
        <v>0</v>
      </c>
    </row>
    <row r="7" spans="1:9" ht="23.85" customHeight="1" x14ac:dyDescent="0.25">
      <c r="A7" s="6" t="s">
        <v>831</v>
      </c>
      <c r="B7" s="7" t="s">
        <v>474</v>
      </c>
      <c r="C7" s="7" t="s">
        <v>832</v>
      </c>
      <c r="D7" s="7" t="s">
        <v>833</v>
      </c>
      <c r="E7" s="7" t="s">
        <v>834</v>
      </c>
      <c r="F7" s="7" t="s">
        <v>835</v>
      </c>
      <c r="G7" s="8" t="s">
        <v>434</v>
      </c>
      <c r="H7" s="8" t="s">
        <v>20</v>
      </c>
      <c r="I7" s="8">
        <v>1</v>
      </c>
    </row>
    <row r="8" spans="1:9" ht="23.85" customHeight="1" x14ac:dyDescent="0.25">
      <c r="A8" s="6" t="s">
        <v>836</v>
      </c>
      <c r="B8" s="7" t="s">
        <v>474</v>
      </c>
      <c r="C8" s="7" t="s">
        <v>832</v>
      </c>
      <c r="D8" s="7" t="s">
        <v>837</v>
      </c>
      <c r="E8" s="7" t="s">
        <v>838</v>
      </c>
      <c r="F8" s="7" t="s">
        <v>502</v>
      </c>
      <c r="G8" s="8" t="s">
        <v>434</v>
      </c>
      <c r="H8" s="8" t="s">
        <v>839</v>
      </c>
      <c r="I8" s="8">
        <v>1</v>
      </c>
    </row>
    <row r="9" spans="1:9" ht="15" customHeight="1" x14ac:dyDescent="0.25">
      <c r="A9" s="6" t="s">
        <v>840</v>
      </c>
      <c r="B9" s="7" t="s">
        <v>480</v>
      </c>
      <c r="C9" s="7" t="s">
        <v>841</v>
      </c>
      <c r="D9" s="7" t="s">
        <v>842</v>
      </c>
      <c r="E9" s="7" t="s">
        <v>843</v>
      </c>
      <c r="F9" s="7" t="s">
        <v>435</v>
      </c>
      <c r="G9" s="8" t="s">
        <v>434</v>
      </c>
      <c r="H9" s="8" t="s">
        <v>20</v>
      </c>
      <c r="I9" s="8">
        <v>1</v>
      </c>
    </row>
    <row r="10" spans="1:9" ht="15" customHeight="1" x14ac:dyDescent="0.25">
      <c r="A10" s="6" t="s">
        <v>844</v>
      </c>
      <c r="B10" s="7" t="s">
        <v>489</v>
      </c>
      <c r="C10" s="7" t="s">
        <v>845</v>
      </c>
      <c r="D10" s="7" t="s">
        <v>846</v>
      </c>
      <c r="E10" s="7" t="s">
        <v>847</v>
      </c>
      <c r="F10" s="7" t="s">
        <v>435</v>
      </c>
      <c r="G10" s="8" t="s">
        <v>434</v>
      </c>
      <c r="H10" s="8" t="s">
        <v>20</v>
      </c>
      <c r="I10" s="8">
        <v>2</v>
      </c>
    </row>
    <row r="11" spans="1:9" ht="15" customHeight="1" x14ac:dyDescent="0.25">
      <c r="A11" s="6" t="s">
        <v>542</v>
      </c>
      <c r="B11" s="7" t="s">
        <v>489</v>
      </c>
      <c r="C11" s="7" t="s">
        <v>848</v>
      </c>
      <c r="D11" s="7" t="s">
        <v>849</v>
      </c>
      <c r="E11" s="7" t="s">
        <v>850</v>
      </c>
      <c r="F11" s="7" t="s">
        <v>435</v>
      </c>
      <c r="G11" s="8" t="s">
        <v>434</v>
      </c>
      <c r="H11" s="8" t="s">
        <v>20</v>
      </c>
      <c r="I11" s="8">
        <v>2</v>
      </c>
    </row>
    <row r="12" spans="1:9" ht="15" customHeight="1" x14ac:dyDescent="0.25">
      <c r="A12" s="6" t="s">
        <v>714</v>
      </c>
      <c r="B12" s="7" t="s">
        <v>715</v>
      </c>
      <c r="C12" s="7" t="s">
        <v>851</v>
      </c>
      <c r="D12" s="7" t="s">
        <v>852</v>
      </c>
      <c r="E12" s="7" t="s">
        <v>853</v>
      </c>
      <c r="F12" s="7" t="s">
        <v>435</v>
      </c>
      <c r="G12" s="8" t="s">
        <v>434</v>
      </c>
      <c r="H12" s="8" t="s">
        <v>20</v>
      </c>
      <c r="I12" s="8">
        <v>1</v>
      </c>
    </row>
    <row r="13" spans="1:9" ht="15" customHeight="1" x14ac:dyDescent="0.25">
      <c r="A13" s="6" t="s">
        <v>854</v>
      </c>
      <c r="B13" s="7" t="s">
        <v>489</v>
      </c>
      <c r="C13" s="7" t="s">
        <v>855</v>
      </c>
      <c r="D13" s="7" t="s">
        <v>856</v>
      </c>
      <c r="E13" s="7" t="s">
        <v>857</v>
      </c>
      <c r="F13" s="7" t="s">
        <v>435</v>
      </c>
      <c r="G13" s="8" t="s">
        <v>434</v>
      </c>
      <c r="H13" s="8" t="s">
        <v>20</v>
      </c>
      <c r="I13" s="8">
        <v>3</v>
      </c>
    </row>
    <row r="14" spans="1:9" ht="15" customHeight="1" x14ac:dyDescent="0.25">
      <c r="A14" s="6" t="s">
        <v>628</v>
      </c>
      <c r="B14" s="7" t="s">
        <v>628</v>
      </c>
      <c r="C14" s="7" t="s">
        <v>858</v>
      </c>
      <c r="D14" s="7" t="s">
        <v>859</v>
      </c>
      <c r="E14" s="7" t="s">
        <v>860</v>
      </c>
      <c r="F14" s="7" t="s">
        <v>861</v>
      </c>
      <c r="G14" s="8" t="s">
        <v>434</v>
      </c>
      <c r="H14" s="8" t="s">
        <v>20</v>
      </c>
      <c r="I14" s="8">
        <v>3</v>
      </c>
    </row>
    <row r="15" spans="1:9" ht="15" customHeight="1" x14ac:dyDescent="0.25">
      <c r="A15" s="6" t="s">
        <v>862</v>
      </c>
      <c r="B15" s="7" t="s">
        <v>761</v>
      </c>
      <c r="C15" s="7" t="s">
        <v>863</v>
      </c>
      <c r="D15" s="7" t="s">
        <v>864</v>
      </c>
      <c r="E15" s="7" t="s">
        <v>865</v>
      </c>
      <c r="F15" s="7" t="s">
        <v>764</v>
      </c>
      <c r="G15" s="8" t="s">
        <v>434</v>
      </c>
      <c r="H15" s="8" t="s">
        <v>866</v>
      </c>
      <c r="I15" s="8">
        <v>4</v>
      </c>
    </row>
    <row r="16" spans="1:9" ht="23.85" customHeight="1" x14ac:dyDescent="0.25">
      <c r="A16" s="6" t="s">
        <v>867</v>
      </c>
      <c r="B16" s="7" t="s">
        <v>580</v>
      </c>
      <c r="C16" s="7" t="s">
        <v>868</v>
      </c>
      <c r="D16" s="7" t="s">
        <v>869</v>
      </c>
      <c r="E16" s="7" t="s">
        <v>870</v>
      </c>
      <c r="F16" s="7" t="s">
        <v>764</v>
      </c>
      <c r="G16" s="8" t="s">
        <v>871</v>
      </c>
      <c r="H16" s="8" t="s">
        <v>866</v>
      </c>
      <c r="I16" s="8">
        <v>2</v>
      </c>
    </row>
    <row r="17" spans="1:9" ht="15" customHeight="1" x14ac:dyDescent="0.25">
      <c r="A17" s="6" t="s">
        <v>872</v>
      </c>
      <c r="B17" s="7" t="s">
        <v>480</v>
      </c>
      <c r="C17" s="7" t="s">
        <v>873</v>
      </c>
      <c r="D17" s="7" t="s">
        <v>874</v>
      </c>
      <c r="E17" s="7" t="s">
        <v>875</v>
      </c>
      <c r="F17" s="7" t="s">
        <v>502</v>
      </c>
      <c r="G17" s="8" t="s">
        <v>434</v>
      </c>
      <c r="H17" s="8" t="s">
        <v>866</v>
      </c>
      <c r="I17" s="8">
        <v>1</v>
      </c>
    </row>
    <row r="18" spans="1:9" ht="15" customHeight="1" x14ac:dyDescent="0.25">
      <c r="A18" s="6" t="s">
        <v>876</v>
      </c>
      <c r="B18" s="7" t="s">
        <v>510</v>
      </c>
      <c r="C18" s="7" t="s">
        <v>877</v>
      </c>
      <c r="D18" s="7" t="s">
        <v>878</v>
      </c>
      <c r="E18" s="7" t="s">
        <v>879</v>
      </c>
      <c r="F18" s="7" t="s">
        <v>502</v>
      </c>
      <c r="G18" s="8" t="s">
        <v>434</v>
      </c>
      <c r="H18" s="8" t="s">
        <v>866</v>
      </c>
      <c r="I18" s="8">
        <v>2</v>
      </c>
    </row>
    <row r="19" spans="1:9" ht="23.85" customHeight="1" x14ac:dyDescent="0.25">
      <c r="A19" s="6" t="s">
        <v>880</v>
      </c>
      <c r="B19" s="7" t="s">
        <v>792</v>
      </c>
      <c r="C19" s="7" t="s">
        <v>881</v>
      </c>
      <c r="D19" s="7" t="s">
        <v>833</v>
      </c>
      <c r="E19" s="7" t="s">
        <v>882</v>
      </c>
      <c r="F19" s="7" t="s">
        <v>795</v>
      </c>
      <c r="G19" s="8" t="s">
        <v>883</v>
      </c>
      <c r="H19" s="8" t="s">
        <v>866</v>
      </c>
      <c r="I19" s="8">
        <v>2</v>
      </c>
    </row>
  </sheetData>
  <autoFilter ref="A1:I19" xr:uid="{00000000-0009-0000-0000-000004000000}"/>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Stage overview</vt:lpstr>
      <vt:lpstr>Tasks</vt:lpstr>
      <vt:lpstr>Test gates</vt:lpstr>
      <vt:lpstr>Test suites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Spink</cp:lastModifiedBy>
  <cp:revision>0</cp:revision>
  <dcterms:created xsi:type="dcterms:W3CDTF">2026-09-15T20:48:09Z</dcterms:created>
  <dcterms:modified xsi:type="dcterms:W3CDTF">2026-10-01T08:37:30Z</dcterms:modified>
  <dc:language>en-US</dc:language>
</cp:coreProperties>
</file>